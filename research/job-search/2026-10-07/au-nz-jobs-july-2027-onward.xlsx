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f3348c498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职期有依据" sheetId="1" r:id="Re61dcd2e2a324dd9"/>
    <x:sheet xmlns:r="http://schemas.openxmlformats.org/officeDocument/2006/relationships" name="待确认与下轮" sheetId="2" r:id="Rbdd1fc0a390f447b"/>
    <x:sheet xmlns:r="http://schemas.openxmlformats.org/officeDocument/2006/relationships" name="排除记录" sheetId="3" r:id="Rd3dac5f723534c4c"/>
    <x:sheet xmlns:r="http://schemas.openxmlformats.org/officeDocument/2006/relationships" name="背景与筛选口径" sheetId="4" r:id="R8c8894623a5f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1"/>
      <x:color rgb="FF213244"/>
      <x:name val="Arial"/>
    </x:font>
    <x:font>
      <x:b/>
      <x:sz val="16"/>
      <x:color rgb="FF233F62"/>
      <x:name val="Arial"/>
    </x:font>
    <x:font>
      <x:sz val="11"/>
      <x:color rgb="FF655326"/>
      <x:name val="Arial"/>
    </x:font>
    <x:font>
      <x:b/>
      <x:sz val="11"/>
      <x:color rgb="FFFFFFFF"/>
      <x:name val="Arial"/>
    </x:font>
    <x:font>
      <x:sz val="11"/>
      <x:color rgb="FFFFFFFF"/>
      <x:name val="Arial"/>
    </x:font>
    <x:font>
      <x:sz val="11"/>
      <x:color rgb="FF165B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F62"/>
      </x:patternFill>
    </x:fill>
    <x:fill>
      <x:patternFill patternType="solid">
        <x:fgColor rgb="FFFFFFFF"/>
      </x:patternFill>
    </x:fill>
    <x:fill>
      <x:patternFill patternType="solid">
        <x:fgColor rgb="FFF2F5F9"/>
      </x:patternFill>
    </x:fill>
    <x:fill>
      <x:patternFill patternType="solid">
        <x:fgColor rgb="FFFFF4D9"/>
      </x:patternFill>
    </x:fill>
  </x:fills>
  <x:borders count="2">
    <x:border/>
    <x:border>
      <x:bottom style="thin">
        <x:color rgb="FFA5B5C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245B36"/>
      </x:font>
      <x:fill>
        <x:patternFill patternType="solid">
          <x:bgColor rgb="FFE4F1E6"/>
        </x:patternFill>
      </x:fill>
    </x:dxf>
    <x:dxf>
      <x:font>
        <x:color rgb="FF775314"/>
      </x:font>
      <x:fill>
        <x:patternFill patternType="solid">
          <x:bgColor rgb="FFFFE7B8"/>
        </x:patternFill>
      </x:fill>
    </x:dxf>
    <x:dxf>
      <x:font>
        <x:color rgb="FF245B36"/>
      </x:font>
      <x:fill>
        <x:patternFill patternType="solid">
          <x:bgColor rgb="FFE4F1E6"/>
        </x:patternFill>
      </x:fill>
    </x:dxf>
    <x:dxf>
      <x:font>
        <x:color rgb="FF775314"/>
      </x:font>
      <x:fill>
        <x:patternFill patternType="solid">
          <x:bgColor rgb="FFFFE7B8"/>
        </x:patternFill>
      </x:fill>
    </x:dxf>
    <x:dxf>
      <x:font>
        <x:color rgb="FF245B36"/>
      </x:font>
      <x:fill>
        <x:patternFill patternType="solid">
          <x:bgColor rgb="FFE4F1E6"/>
        </x:patternFill>
      </x:fill>
    </x:dxf>
    <x:dxf>
      <x:font>
        <x:color rgb="FF775314"/>
      </x:font>
      <x:fill>
        <x:patternFill patternType="solid">
          <x:bgColor rgb="FFFFE7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d3a91ef924762" /><Relationship Type="http://schemas.openxmlformats.org/officeDocument/2006/relationships/theme" Target="/xl/theme/theme1.xml" Id="R5077b5d09704464a" /><Relationship Type="http://schemas.openxmlformats.org/officeDocument/2006/relationships/sharedStrings" Target="/xl/sharedStrings.xml" Id="R9ba29d5219f3442c" /><Relationship Type="http://schemas.openxmlformats.org/officeDocument/2006/relationships/worksheet" Target="/xl/worksheets/sheet1.xml" Id="Re61dcd2e2a324dd9" /><Relationship Type="http://schemas.openxmlformats.org/officeDocument/2006/relationships/worksheet" Target="/xl/worksheets/sheet2.xml" Id="Rbdd1fc0a390f447b" /><Relationship Type="http://schemas.openxmlformats.org/officeDocument/2006/relationships/worksheet" Target="/xl/worksheets/sheet3.xml" Id="Rd3dac5f723534c4c" /><Relationship Type="http://schemas.openxmlformats.org/officeDocument/2006/relationships/worksheet" Target="/xl/worksheets/sheet4.xml" Id="R8c8894623a5f44e6" /></Relationships>
</file>

<file path=xl/tables/table1.xml><?xml version="1.0" encoding="utf-8"?>
<x:table xmlns:x="http://schemas.openxmlformats.org/spreadsheetml/2006/main" id="1" name="shortlistJobs" displayName="shortlistJobs" ref="A9:V13" headerRowCount="1" totalsRowCount="0" totalsRowShown="0">
  <x:autoFilter ref="A9:V13"/>
  <x:tableColumns count="22">
    <x:tableColumn id="1" name="编号"/>
    <x:tableColumn id="2" name="优先级"/>
    <x:tableColumn id="3" name="国家"/>
    <x:tableColumn id="4" name="公司"/>
    <x:tableColumn id="5" name="岗位或项目"/>
    <x:tableColumn id="6" name="城市"/>
    <x:tableColumn id="7" name="招聘状态"/>
    <x:tableColumn id="8" name="入职时间依据"/>
    <x:tableColumn id="9" name="与2027年7月后入职的关系"/>
    <x:tableColumn id="10" name="明确截止日"/>
    <x:tableColumn id="11" name="截止与时区说明"/>
    <x:tableColumn id="12" name="工签、PR与国籍条件"/>
    <x:tableColumn id="13" name="毕业与经验条件"/>
    <x:tableColumn id="14" name="匹配证据"/>
    <x:tableColumn id="15" name="主要差距或风险"/>
    <x:tableColumn id="16" name="建议下一步"/>
    <x:tableColumn id="17" name="我的进度"/>
    <x:tableColumn id="18" name="我的备注"/>
    <x:tableColumn id="19" name="来源区"/>
    <x:tableColumn id="20" name="主要来源"/>
    <x:tableColumn id="21" name="补充来源"/>
    <x:tableColumn id="22" name="核查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listJobs" displayName="watchlistJobs" ref="A9:V24" headerRowCount="1" totalsRowCount="0" totalsRowShown="0">
  <x:autoFilter ref="A9:V24"/>
  <x:tableColumns count="22">
    <x:tableColumn id="1" name="编号"/>
    <x:tableColumn id="2" name="优先级"/>
    <x:tableColumn id="3" name="国家"/>
    <x:tableColumn id="4" name="公司"/>
    <x:tableColumn id="5" name="岗位或项目"/>
    <x:tableColumn id="6" name="城市"/>
    <x:tableColumn id="7" name="招聘状态"/>
    <x:tableColumn id="8" name="入职时间依据"/>
    <x:tableColumn id="9" name="与2027年7月后入职的关系"/>
    <x:tableColumn id="10" name="明确截止日"/>
    <x:tableColumn id="11" name="截止与时区说明"/>
    <x:tableColumn id="12" name="工签、PR与国籍条件"/>
    <x:tableColumn id="13" name="毕业与经验条件"/>
    <x:tableColumn id="14" name="匹配证据"/>
    <x:tableColumn id="15" name="主要差距或风险"/>
    <x:tableColumn id="16" name="建议下一步"/>
    <x:tableColumn id="17" name="我的进度"/>
    <x:tableColumn id="18" name="我的备注"/>
    <x:tableColumn id="19" name="来源区"/>
    <x:tableColumn id="20" name="主要来源"/>
    <x:tableColumn id="21" name="补充来源"/>
    <x:tableColumn id="22" name="核查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Jobs" displayName="excludedJobs" ref="A9:V21" headerRowCount="1" totalsRowCount="0" totalsRowShown="0">
  <x:autoFilter ref="A9:V21"/>
  <x:tableColumns count="22">
    <x:tableColumn id="1" name="编号"/>
    <x:tableColumn id="2" name="优先级"/>
    <x:tableColumn id="3" name="国家"/>
    <x:tableColumn id="4" name="公司"/>
    <x:tableColumn id="5" name="岗位或项目"/>
    <x:tableColumn id="6" name="城市"/>
    <x:tableColumn id="7" name="招聘状态"/>
    <x:tableColumn id="8" name="入职时间依据"/>
    <x:tableColumn id="9" name="与2027年7月后入职的关系"/>
    <x:tableColumn id="10" name="明确截止日"/>
    <x:tableColumn id="11" name="截止与时区说明"/>
    <x:tableColumn id="12" name="工签、PR与国籍条件"/>
    <x:tableColumn id="13" name="毕业与经验条件"/>
    <x:tableColumn id="14" name="匹配证据"/>
    <x:tableColumn id="15" name="主要差距或风险"/>
    <x:tableColumn id="16" name="建议下一步"/>
    <x:tableColumn id="17" name="我的进度"/>
    <x:tableColumn id="18" name="我的备注"/>
    <x:tableColumn id="19" name="来源区"/>
    <x:tableColumn id="20" name="主要来源"/>
    <x:tableColumn id="21" name="补充来源"/>
    <x:tableColumn id="22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b585c123284a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5c31cdd8f341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5f8d807e8840e9" /></Relationships>
</file>

<file path=xl/worksheets/sheet1.xml><?xml version="1.0" encoding="utf-8"?>
<x:worksheet xmlns:x="http://schemas.openxmlformats.org/spreadsheetml/2006/main">
  <x:sheetPr>
    <x:tabColor rgb="FF233F62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42" hidden="0" customWidth="1"/>
    <x:col min="6" max="6" width="19" hidden="0" customWidth="1"/>
    <x:col min="7" max="7" width="25" hidden="0" customWidth="1"/>
    <x:col min="8" max="8" width="38" hidden="0" customWidth="1"/>
    <x:col min="9" max="9" width="38" hidden="0" customWidth="1"/>
    <x:col min="10" max="10" width="17" hidden="0" customWidth="1"/>
    <x:col min="11" max="11" width="34" hidden="0" customWidth="1"/>
    <x:col min="12" max="12" width="48" hidden="0" customWidth="1"/>
    <x:col min="13" max="13" width="45" hidden="0" customWidth="1"/>
    <x:col min="14" max="14" width="54" hidden="0" customWidth="1"/>
    <x:col min="15" max="15" width="54" hidden="0" customWidth="1"/>
    <x:col min="16" max="16" width="54" hidden="0" customWidth="1"/>
    <x:col min="17" max="17" width="22" hidden="0" customWidth="1"/>
    <x:col min="18" max="18" width="46" hidden="0" customWidth="1"/>
    <x:col min="19" max="19" width="3" hidden="0" customWidth="1"/>
    <x:col min="20" max="20" width="65" hidden="0" customWidth="1"/>
    <x:col min="21" max="21" width="65" hidden="0" customWidth="1"/>
    <x:col min="22" max="22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3" t="str">
        <x:v>澳新技术岗：2027年7月后入职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2" customHeight="1">
      <x:c r="A4" s="2" t="str">
        <x:v>核查日</x:v>
      </x:c>
      <x:c r="B4" s="5" t="n">
        <x:v>46302.5</x:v>
      </x:c>
      <x:c r="C4" s="2"/>
      <x:c r="D4" s="2" t="str">
        <x:v>最早可入职</x:v>
      </x:c>
      <x:c r="E4" s="5" t="n">
        <x:v>46569.5</x:v>
      </x:c>
      <x:c r="F4" s="2"/>
      <x:c r="G4" s="2" t="str">
        <x:v>工作权假设</x:v>
      </x:c>
      <x:c r="H4" s="2" t="str">
        <x:v>具备全职工作许可，不等于PR或公民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6" t="str">
        <x:v>4条线索来自2家公司。3条TikTok岗位仅时间窗口兼容，Eagle仅登记意向；均需确认具体开始日期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 t="str">
        <x:v>记录数</x:v>
      </x:c>
      <x:c r="B6" s="2" t="n">
        <x:f>COUNTA(A10:A13)</x:f>
        <x:v>4</x:v>
      </x:c>
      <x:c r="C6" s="2"/>
      <x:c r="D6" s="2" t="str">
        <x:v>正式招聘</x:v>
      </x:c>
      <x:c r="E6" s="2" t="n">
        <x:f>COUNTIFS(G10:G13,"正式招聘（滚动）")</x:f>
        <x:v>3</x:v>
      </x:c>
      <x:c r="F6" s="2"/>
      <x:c r="G6" s="2" t="str">
        <x:v>仅登记意向</x:v>
      </x:c>
      <x:c r="H6" s="2" t="n">
        <x:f>COUNTIFS(G10:G13,"仅EOI")</x:f>
        <x:v>1</x:v>
      </x:c>
      <x:c r="I6" s="2"/>
      <x:c r="J6" s="6" t="str">
        <x:v>我的进度和备注可自行填写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45" customHeight="1">
      <x:c r="A9" s="10" t="str">
        <x:v>编号</x:v>
      </x:c>
      <x:c r="B9" s="10" t="str">
        <x:v>优先级</x:v>
      </x:c>
      <x:c r="C9" s="10" t="str">
        <x:v>国家</x:v>
      </x:c>
      <x:c r="D9" s="10" t="str">
        <x:v>公司</x:v>
      </x:c>
      <x:c r="E9" s="10" t="str">
        <x:v>岗位或项目</x:v>
      </x:c>
      <x:c r="F9" s="10" t="str">
        <x:v>城市</x:v>
      </x:c>
      <x:c r="G9" s="10" t="str">
        <x:v>招聘状态</x:v>
      </x:c>
      <x:c r="H9" s="10" t="str">
        <x:v>入职时间依据</x:v>
      </x:c>
      <x:c r="I9" s="10" t="str">
        <x:v>与2027年7月后入职的关系</x:v>
      </x:c>
      <x:c r="J9" s="10" t="str">
        <x:v>明确截止日</x:v>
      </x:c>
      <x:c r="K9" s="10" t="str">
        <x:v>截止与时区说明</x:v>
      </x:c>
      <x:c r="L9" s="10" t="str">
        <x:v>工签、PR与国籍条件</x:v>
      </x:c>
      <x:c r="M9" s="10" t="str">
        <x:v>毕业与经验条件</x:v>
      </x:c>
      <x:c r="N9" s="10" t="str">
        <x:v>匹配证据</x:v>
      </x:c>
      <x:c r="O9" s="10" t="str">
        <x:v>主要差距或风险</x:v>
      </x:c>
      <x:c r="P9" s="10" t="str">
        <x:v>建议下一步</x:v>
      </x:c>
      <x:c r="Q9" s="10" t="str">
        <x:v>我的进度</x:v>
      </x:c>
      <x:c r="R9" s="10" t="str">
        <x:v>我的备注</x:v>
      </x:c>
      <x:c r="S9" s="18" t="str">
        <x:v>来源区</x:v>
      </x:c>
      <x:c r="T9" s="10" t="str">
        <x:v>主要来源</x:v>
      </x:c>
      <x:c r="U9" s="10" t="str">
        <x:v>补充来源</x:v>
      </x:c>
      <x:c r="V9" s="10" t="str">
        <x:v>核查日期</x:v>
      </x:c>
    </x:row>
    <x:row r="10" ht="78" customHeight="1">
      <x:c r="A10" s="14" t="str">
        <x:v>AU-01</x:v>
      </x:c>
      <x:c r="B10" s="14" t="str">
        <x:v>首选</x:v>
      </x:c>
      <x:c r="C10" s="14" t="str">
        <x:v>澳大利亚</x:v>
      </x:c>
      <x:c r="D10" s="14" t="str">
        <x:v>TikTok</x:v>
      </x:c>
      <x:c r="E10" s="14" t="str">
        <x:v>SRE Graduate – Technical Infrastructure（2027 BS/MS，A26539B）</x:v>
      </x:c>
      <x:c r="F10" s="14" t="str">
        <x:v>Sydney</x:v>
      </x:c>
      <x:c r="G10" s="14" t="str">
        <x:v>正式招聘（滚动）</x:v>
      </x:c>
      <x:c r="H10" s="14" t="str">
        <x:v>官方：须于2027年年底前入职</x:v>
      </x:c>
      <x:c r="I10" s="14" t="str">
        <x:v>允许晚于6月的时间窗口。7月或更晚的具体日期仍需招聘方同意</x:v>
      </x:c>
      <x:c r="J10" s="15"/>
      <x:c r="K10" s="14" t="str">
        <x:v>滚动筛选。未公布固定截止日或时区</x:v>
      </x:c>
      <x:c r="L10" s="14" t="str">
        <x:v>岗位未列PR或公民限制，但未明确确认具体临时签证或担保政策</x:v>
      </x:c>
      <x:c r="M10" s="14" t="str">
        <x:v>相关技术本科/硕士应届或近期毕业。Monash IT硕士方向相关</x:v>
      </x:c>
      <x:c r="N10" s="14" t="str">
        <x:v>个人AWS Lambda/FaaS、Python、Linux、Docker、Terraform和CI/CD项目与基础设施自动化贴近</x:v>
      </x:c>
      <x:c r="O10" s="14" t="str">
        <x:v>无已核实商业SRE/on-call经历。Kubernetes仍在学习，不应写成熟练生产经验</x:v>
      </x:c>
      <x:c r="P10" s="14" t="str">
        <x:v>优先核实7月后起始日与签证有效期。确认既往TikTok申请，再选择最多两岗及顺序</x:v>
      </x:c>
      <x:c r="Q10" s="17" t="str">
        <x:v>待处理</x:v>
      </x:c>
      <x:c r="R10" s="17" t="str"/>
      <x:c r="S10" s="19" t="str"/>
      <x:c r="T10" s="20" t="str">
        <x:v>https://lifeattiktok.com/search/7658157129630517557</x:v>
      </x:c>
      <x:c r="U10" s="20" t="str">
        <x:v>https://lifeattiktok.com/earlycareers/faq/?language=en</x:v>
      </x:c>
      <x:c r="V10" s="15" t="n">
        <x:v>46302.5</x:v>
      </x:c>
    </x:row>
    <x:row r="11" ht="78" customHeight="1">
      <x:c r="A11" s="13" t="str">
        <x:v>AU-02</x:v>
      </x:c>
      <x:c r="B11" s="13" t="str">
        <x:v>第二选择</x:v>
      </x:c>
      <x:c r="C11" s="13" t="str">
        <x:v>澳大利亚</x:v>
      </x:c>
      <x:c r="D11" s="13" t="str">
        <x:v>TikTok</x:v>
      </x:c>
      <x:c r="E11" s="13" t="str">
        <x:v>Backend Graduate – Multimedia Platform（2027 BS/MS，A30508A）</x:v>
      </x:c>
      <x:c r="F11" s="13" t="str">
        <x:v>Sydney</x:v>
      </x:c>
      <x:c r="G11" s="13" t="str">
        <x:v>正式招聘（滚动）</x:v>
      </x:c>
      <x:c r="H11" s="13" t="str">
        <x:v>官方：须于2027年年底前入职</x:v>
      </x:c>
      <x:c r="I11" s="13" t="str">
        <x:v>7月至年底处于公布窗口内。未承诺7月批次</x:v>
      </x:c>
      <x:c r="J11" s="16"/>
      <x:c r="K11" s="13" t="str">
        <x:v>滚动筛选。未公布固定截止日或时区</x:v>
      </x:c>
      <x:c r="L11" s="13" t="str">
        <x:v>未列PR/公民硬门槛。具体签证接受范围和担保均待确认</x:v>
      </x:c>
      <x:c r="M11" s="13" t="str">
        <x:v>相关技术本科/硕士应届或近期毕业。要求Linux、存储与网络基础</x:v>
      </x:c>
      <x:c r="N11" s="13" t="str">
        <x:v>Python、容器与云基础设施相关。游戏/媒体项目可用于说明个人兴趣</x:v>
      </x:c>
      <x:c r="O11" s="13" t="str">
        <x:v>分布式调度、集群自动扩缩容与AI基础设施经验不足。勿把个人AWS项目说成大规模集群经验</x:v>
      </x:c>
      <x:c r="P11" s="13" t="str">
        <x:v>与AU-03二选一作为第二申请。准备Linux/网络、分布式系统基础，并确认晚入职与工签</x:v>
      </x:c>
      <x:c r="Q11" s="17" t="str">
        <x:v>待处理</x:v>
      </x:c>
      <x:c r="R11" s="17" t="str"/>
      <x:c r="S11" s="19" t="str"/>
      <x:c r="T11" s="21" t="str">
        <x:v>https://lifeattiktok.com/search/7657821105365027077</x:v>
      </x:c>
      <x:c r="U11" s="21" t="str">
        <x:v>https://lifeattiktok.com/earlycareers/faq/?language=en</x:v>
      </x:c>
      <x:c r="V11" s="16" t="n">
        <x:v>46302.5</x:v>
      </x:c>
    </x:row>
    <x:row r="12" ht="78" customHeight="1">
      <x:c r="A12" s="14" t="str">
        <x:v>AU-03</x:v>
      </x:c>
      <x:c r="B12" s="14" t="str">
        <x:v>第二选择备选</x:v>
      </x:c>
      <x:c r="C12" s="14" t="str">
        <x:v>澳大利亚</x:v>
      </x:c>
      <x:c r="D12" s="14" t="str">
        <x:v>TikTok</x:v>
      </x:c>
      <x:c r="E12" s="14" t="str">
        <x:v>Backend Graduate – Trust and Safety Engineering（2027 BS/MS，A144848）</x:v>
      </x:c>
      <x:c r="F12" s="14" t="str">
        <x:v>Sydney</x:v>
      </x:c>
      <x:c r="G12" s="14" t="str">
        <x:v>正式招聘（滚动）</x:v>
      </x:c>
      <x:c r="H12" s="14" t="str">
        <x:v>官方：须于2027年年底前入职</x:v>
      </x:c>
      <x:c r="I12" s="14" t="str">
        <x:v>晚于6月可能。起始日需单独确认</x:v>
      </x:c>
      <x:c r="J12" s="15"/>
      <x:c r="K12" s="14" t="str">
        <x:v>滚动筛选。未公布固定截止日或时区</x:v>
      </x:c>
      <x:c r="L12" s="14" t="str">
        <x:v>未列PR/公民限制。不能据此保证工签被接受或提供担保</x:v>
      </x:c>
      <x:c r="M12" s="14" t="str">
        <x:v>相关本科或更高学历。算法、数据结构及Python/Go/PHP/C++/Java之一</x:v>
      </x:c>
      <x:c r="N12" s="14" t="str">
        <x:v>Python/FastAPI、API设计、测试与工程化项目可用作后端证据</x:v>
      </x:c>
      <x:c r="O12" s="14" t="str">
        <x:v>需补强算法和可扩展后端设计。简历筛选后可能有HackerRank</x:v>
      </x:c>
      <x:c r="P12" s="14" t="str">
        <x:v>作为AU-02的替代选项，不要把三个TikTok岗位全部提交</x:v>
      </x:c>
      <x:c r="Q12" s="17" t="str">
        <x:v>待处理</x:v>
      </x:c>
      <x:c r="R12" s="17" t="str"/>
      <x:c r="S12" s="19" t="str"/>
      <x:c r="T12" s="20" t="str">
        <x:v>https://lifeattiktok.com/search/7605166042878068997</x:v>
      </x:c>
      <x:c r="U12" s="20" t="str">
        <x:v>https://lifeattiktok.com/earlycareers/faq/?language=en</x:v>
      </x:c>
      <x:c r="V12" s="15" t="n">
        <x:v>46302.5</x:v>
      </x:c>
    </x:row>
    <x:row r="13" ht="78" customHeight="1">
      <x:c r="A13" s="13" t="str">
        <x:v>NZ-01</x:v>
      </x:c>
      <x:c r="B13" s="13" t="str">
        <x:v>可选方向</x:v>
      </x:c>
      <x:c r="C13" s="13" t="str">
        <x:v>新西兰</x:v>
      </x:c>
      <x:c r="D13" s="13" t="str">
        <x:v>Eagle Technology</x:v>
      </x:c>
      <x:c r="E13" s="13" t="str">
        <x:v>GIS Graduate Programme</x:v>
      </x:c>
      <x:c r="F13" s="13" t="str">
        <x:v>Wellington，初期办公室</x:v>
      </x:c>
      <x:c r="G13" s="13" t="str">
        <x:v>仅EOI</x:v>
      </x:c>
      <x:c r="H13" s="13" t="str">
        <x:v>登记意向页列2027年7月和2028年2月。另有一般性“6月底”表述</x:v>
      </x:c>
      <x:c r="I13" s="13" t="str">
        <x:v>7月批次边界有矛盾，须书面确认。2028年2月登记也在目标期内</x:v>
      </x:c>
      <x:c r="J13" s="16"/>
      <x:c r="K13" s="13" t="str">
        <x:v>未公布该批次截止日或时区。一般“3月开放”未注明年份</x:v>
      </x:c>
      <x:c r="L13" s="13" t="str">
        <x:v>明确接受有效NZ工作签证。须确认适用国家、有效期及全职条件</x:v>
      </x:c>
      <x:c r="M13" s="13" t="str">
        <x:v>至少本科学历。入职前一年内毕业或截止至入职间毕业。Monash完成日期待核</x:v>
      </x:c>
      <x:c r="N13" s="13" t="str">
        <x:v>Python、数据库、Web服务、安全与技术排错相关。属于GIS解决方案/支持方向</x:v>
      </x:c>
      <x:c r="O13" s="13" t="str">
        <x:v>不是专门后端/SWE岗。12个月固定期，后续永久岗位不保证</x:v>
      </x:c>
      <x:c r="P13" s="13" t="str">
        <x:v>先确认实际7月起始日与毕业资格。雇主要求CV/求职信本人撰写、不使用AI</x:v>
      </x:c>
      <x:c r="Q13" s="17" t="str">
        <x:v>待处理</x:v>
      </x:c>
      <x:c r="R13" s="17" t="str"/>
      <x:c r="S13" s="19" t="str"/>
      <x:c r="T13" s="21" t="str">
        <x:v>https://www.eagle.co.nz/graduates</x:v>
      </x:c>
      <x:c r="U13" s="21" t="str">
        <x:v>https://nz.prosple.com/graduate-employers/eagle-technology</x:v>
      </x:c>
      <x:c r="V13" s="16" t="n">
        <x:v>46302.5</x:v>
      </x:c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</x:sheetData>
  <x:conditionalFormatting sqref="Q10:Q13">
    <x:cfRule type="containsText" dxfId="0" priority="1" operator="containsText" text="已申请"/>
    <x:cfRule type="containsText" dxfId="1" priority="2" operator="containsText" text="待询问"/>
  </x:conditionalFormatting>
  <x:dataValidations count="1">
    <x:dataValidation type="list" sqref="Q10:Q13">
      <x:formula1>"待处理,待询问,准备材料,已申请,面试中,已结束,暂不申请"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b585c123284ae1"/>
  </x:tableParts>
</x:worksheet>
</file>

<file path=xl/worksheets/sheet2.xml><?xml version="1.0" encoding="utf-8"?>
<x:worksheet xmlns:x="http://schemas.openxmlformats.org/spreadsheetml/2006/main">
  <x:sheetPr>
    <x:tabColor rgb="FF697F9C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42" hidden="0" customWidth="1"/>
    <x:col min="6" max="6" width="19" hidden="0" customWidth="1"/>
    <x:col min="7" max="7" width="25" hidden="0" customWidth="1"/>
    <x:col min="8" max="8" width="38" hidden="0" customWidth="1"/>
    <x:col min="9" max="9" width="38" hidden="0" customWidth="1"/>
    <x:col min="10" max="10" width="17" hidden="0" customWidth="1"/>
    <x:col min="11" max="11" width="34" hidden="0" customWidth="1"/>
    <x:col min="12" max="12" width="48" hidden="0" customWidth="1"/>
    <x:col min="13" max="13" width="45" hidden="0" customWidth="1"/>
    <x:col min="14" max="14" width="54" hidden="0" customWidth="1"/>
    <x:col min="15" max="15" width="54" hidden="0" customWidth="1"/>
    <x:col min="16" max="16" width="54" hidden="0" customWidth="1"/>
    <x:col min="17" max="17" width="22" hidden="0" customWidth="1"/>
    <x:col min="18" max="18" width="46" hidden="0" customWidth="1"/>
    <x:col min="19" max="19" width="3" hidden="0" customWidth="1"/>
    <x:col min="20" max="20" width="65" hidden="0" customWidth="1"/>
    <x:col min="21" max="21" width="65" hidden="0" customWidth="1"/>
    <x:col min="22" max="22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3" t="str">
        <x:v>时间、资格或下一轮待确认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2" customHeight="1">
      <x:c r="A4" s="2" t="str">
        <x:v>核查日</x:v>
      </x:c>
      <x:c r="B4" s="5" t="n">
        <x:v>46302.5</x:v>
      </x:c>
      <x:c r="C4" s="2"/>
      <x:c r="D4" s="2" t="str">
        <x:v>最早可入职</x:v>
      </x:c>
      <x:c r="E4" s="5" t="n">
        <x:v>46569.5</x:v>
      </x:c>
      <x:c r="F4" s="2"/>
      <x:c r="G4" s="2" t="str">
        <x:v>工作权假设</x:v>
      </x:c>
      <x:c r="H4" s="2" t="str">
        <x:v>具备全职工作许可，不等于PR或公民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6" t="str">
        <x:v>15条后续目标。这里没有已确认可于2027年7月后入职的开放岗位；已关闭历史岗位仅用作下次搜索目标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 t="str">
        <x:v>记录数</x:v>
      </x:c>
      <x:c r="B6" s="2" t="n">
        <x:f>COUNTA(A10:A24)</x:f>
        <x:v>15</x:v>
      </x:c>
      <x:c r="C6" s="2"/>
      <x:c r="D6" s="2" t="str">
        <x:v>正式招聘</x:v>
      </x:c>
      <x:c r="E6" s="2" t="n">
        <x:f>COUNTIFS(G10:G24,"正式招聘（滚动）")</x:f>
        <x:v>0</x:v>
      </x:c>
      <x:c r="F6" s="2"/>
      <x:c r="G6" s="2" t="str">
        <x:v>仅登记意向</x:v>
      </x:c>
      <x:c r="H6" s="2" t="n">
        <x:f>COUNTIFS(G10:G24,"仅EOI")</x:f>
        <x:v>1</x:v>
      </x:c>
      <x:c r="I6" s="2"/>
      <x:c r="J6" s="6" t="str">
        <x:v>我的进度和备注可自行填写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45" customHeight="1">
      <x:c r="A9" s="10" t="str">
        <x:v>编号</x:v>
      </x:c>
      <x:c r="B9" s="10" t="str">
        <x:v>优先级</x:v>
      </x:c>
      <x:c r="C9" s="10" t="str">
        <x:v>国家</x:v>
      </x:c>
      <x:c r="D9" s="10" t="str">
        <x:v>公司</x:v>
      </x:c>
      <x:c r="E9" s="10" t="str">
        <x:v>岗位或项目</x:v>
      </x:c>
      <x:c r="F9" s="10" t="str">
        <x:v>城市</x:v>
      </x:c>
      <x:c r="G9" s="10" t="str">
        <x:v>招聘状态</x:v>
      </x:c>
      <x:c r="H9" s="10" t="str">
        <x:v>入职时间依据</x:v>
      </x:c>
      <x:c r="I9" s="10" t="str">
        <x:v>与2027年7月后入职的关系</x:v>
      </x:c>
      <x:c r="J9" s="10" t="str">
        <x:v>明确截止日</x:v>
      </x:c>
      <x:c r="K9" s="10" t="str">
        <x:v>截止与时区说明</x:v>
      </x:c>
      <x:c r="L9" s="10" t="str">
        <x:v>工签、PR与国籍条件</x:v>
      </x:c>
      <x:c r="M9" s="10" t="str">
        <x:v>毕业与经验条件</x:v>
      </x:c>
      <x:c r="N9" s="10" t="str">
        <x:v>匹配证据</x:v>
      </x:c>
      <x:c r="O9" s="10" t="str">
        <x:v>主要差距或风险</x:v>
      </x:c>
      <x:c r="P9" s="10" t="str">
        <x:v>建议下一步</x:v>
      </x:c>
      <x:c r="Q9" s="10" t="str">
        <x:v>我的进度</x:v>
      </x:c>
      <x:c r="R9" s="10" t="str">
        <x:v>我的备注</x:v>
      </x:c>
      <x:c r="S9" s="18" t="str">
        <x:v>来源区</x:v>
      </x:c>
      <x:c r="T9" s="10" t="str">
        <x:v>主要来源</x:v>
      </x:c>
      <x:c r="U9" s="10" t="str">
        <x:v>补充来源</x:v>
      </x:c>
      <x:c r="V9" s="10" t="str">
        <x:v>核查日期</x:v>
      </x:c>
    </x:row>
    <x:row r="10" ht="78" customHeight="1">
      <x:c r="A10" s="14" t="str">
        <x:v>W-AU01</x:v>
      </x:c>
      <x:c r="B10" s="14" t="str">
        <x:v>高</x:v>
      </x:c>
      <x:c r="C10" s="14" t="str">
        <x:v>澳大利亚</x:v>
      </x:c>
      <x:c r="D10" s="14" t="str">
        <x:v>SEEK</x:v>
      </x:c>
      <x:c r="E10" s="14" t="str">
        <x:v>Software Engineering Graduate Program（后续批次）</x:v>
      </x:c>
      <x:c r="F10" s="14" t="str">
        <x:v>Melbourne</x:v>
      </x:c>
      <x:c r="G10" s="14" t="str">
        <x:v>下轮观察</x:v>
      </x:c>
      <x:c r="H10" s="14" t="str">
        <x:v>适合批次尚未公布，不能把2028写成已开放</x:v>
      </x:c>
      <x:c r="I10" s="14" t="str">
        <x:v>2027申请已关闭。下一轮时间未宣布</x:v>
      </x:c>
      <x:c r="J10" s="15"/>
      <x:c r="K10" s="14" t="str">
        <x:v>未公布明确截止日或时区</x:v>
      </x:c>
      <x:c r="L10" s="14" t="str">
        <x:v>官网明确接受国际学生及澳洲工作权</x:v>
      </x:c>
      <x:c r="M10" s="14" t="str">
        <x:v>最后一年或近两年毕业，学科不限。下一轮具体窗口需重核</x:v>
      </x:c>
      <x:c r="N10" s="14" t="str">
        <x:v>AWS、TypeScript、GraphQL、React，13个月软件轮岗，个人云项目适配</x:v>
      </x:c>
      <x:c r="O10" s="14" t="str">
        <x:v>没有已核实晚于2027年6月的具体职位</x:v>
      </x:c>
      <x:c r="P10" s="14" t="str">
        <x:v>优先关注新批次。准备AWS项目、测试和TypeScript证据</x:v>
      </x:c>
      <x:c r="Q10" s="17" t="str">
        <x:v>待处理</x:v>
      </x:c>
      <x:c r="R10" s="17" t="str"/>
      <x:c r="S10" s="19" t="str"/>
      <x:c r="T10" s="20" t="str">
        <x:v>https://au.seek.com/careers/graduate-programs/software-engineering-anz</x:v>
      </x:c>
      <x:c r="U10" s="20" t="str"/>
      <x:c r="V10" s="15" t="n">
        <x:v>46302.5</x:v>
      </x:c>
    </x:row>
    <x:row r="11" ht="78" customHeight="1">
      <x:c r="A11" s="13" t="str">
        <x:v>W-AU02</x:v>
      </x:c>
      <x:c r="B11" s="13" t="str">
        <x:v>高</x:v>
      </x:c>
      <x:c r="C11" s="13" t="str">
        <x:v>澳大利亚</x:v>
      </x:c>
      <x:c r="D11" s="13" t="str">
        <x:v>Telstra</x:v>
      </x:c>
      <x:c r="E11" s="13" t="str">
        <x:v>2028 Technical Graduate Pathways</x:v>
      </x:c>
      <x:c r="F11" s="13" t="str">
        <x:v>以新职位为准</x:v>
      </x:c>
      <x:c r="G11" s="13" t="str">
        <x:v>下轮观察</x:v>
      </x:c>
      <x:c r="H11" s="13" t="str">
        <x:v>官网确认2028申请于2027年初开放。2028具体入职日未公布</x:v>
      </x:c>
      <x:c r="I11" s="13" t="str">
        <x:v>后续招聘计划有依据，尚非开放的2028正式岗位</x:v>
      </x:c>
      <x:c r="J11" s="16"/>
      <x:c r="K11" s="13" t="str">
        <x:v>未公布明确截止日或时区</x:v>
      </x:c>
      <x:c r="L11" s="13" t="str">
        <x:v>技术方向明确接受允许不受限制工作的国际学生签证</x:v>
      </x:c>
      <x:c r="M11" s="13" t="str">
        <x:v>现行文字要求澳洲大学本科学历，FAQ又提最新高等学历。加拿大BA＋Monash硕士是否合格需核实</x:v>
      </x:c>
      <x:c r="N11" s="13" t="str">
        <x:v>Software Engineering、Technology Consulting、Network/Cyber方向适合云/DevOps项目</x:v>
      </x:c>
      <x:c r="O11" s="13" t="str">
        <x:v>教育条件未解决，现有毕业时间窗口仍针对2027</x:v>
      </x:c>
      <x:c r="P11" s="13" t="str">
        <x:v>2027年初查看新条件，并先询问澳洲硕士能否满足学历要求</x:v>
      </x:c>
      <x:c r="Q11" s="17" t="str">
        <x:v>待处理</x:v>
      </x:c>
      <x:c r="R11" s="17" t="str"/>
      <x:c r="S11" s="19" t="str"/>
      <x:c r="T11" s="21" t="str">
        <x:v>https://www.telstra.com.au/careers/students-and-graduates/telstra-graduate-program</x:v>
      </x:c>
      <x:c r="U11" s="21" t="str"/>
      <x:c r="V11" s="16" t="n">
        <x:v>46302.5</x:v>
      </x:c>
    </x:row>
    <x:row r="12" ht="78" customHeight="1">
      <x:c r="A12" s="14" t="str">
        <x:v>W-AU03</x:v>
      </x:c>
      <x:c r="B12" s="14" t="str">
        <x:v>条件性</x:v>
      </x:c>
      <x:c r="C12" s="14" t="str">
        <x:v>澳大利亚</x:v>
      </x:c>
      <x:c r="D12" s="14" t="str">
        <x:v>REA Group</x:v>
      </x:c>
      <x:c r="E12" s="14" t="str">
        <x:v>Technology Graduate Program（后续批次）</x:v>
      </x:c>
      <x:c r="F12" s="14" t="str">
        <x:v>以新职位为准</x:v>
      </x:c>
      <x:c r="G12" s="14" t="str">
        <x:v>下轮观察</x:v>
      </x:c>
      <x:c r="H12" s="14" t="str">
        <x:v>常规次年2月。2028年2月只是规划推断，未宣布</x:v>
      </x:c>
      <x:c r="I12" s="14" t="str">
        <x:v>2027申请关闭，页面还保留旧“即将开放”文字</x:v>
      </x:c>
      <x:c r="J12" s="15"/>
      <x:c r="K12" s="14" t="str">
        <x:v>未公布明确截止日或时区</x:v>
      </x:c>
      <x:c r="L12" s="14" t="str">
        <x:v>全职工作权之外，还要求入职前能申请澳洲PR。工签本身不能证明满足</x:v>
      </x:c>
      <x:c r="M12" s="14" t="str">
        <x:v>近期技术学习或可证明技术兴趣。新批次条件待核</x:v>
      </x:c>
      <x:c r="N12" s="14" t="str">
        <x:v>AWS、事件驱动、TypeScript、Scala、测试与生产支持</x:v>
      </x:c>
      <x:c r="O12" s="14" t="str">
        <x:v>PR申请资格及正式批次未确认</x:v>
      </x:c>
      <x:c r="P12" s="14" t="str">
        <x:v>只有确认可满足PR申请条件后，再投入该项目准备</x:v>
      </x:c>
      <x:c r="Q12" s="17" t="str">
        <x:v>待处理</x:v>
      </x:c>
      <x:c r="R12" s="17" t="str"/>
      <x:c r="S12" s="19" t="str"/>
      <x:c r="T12" s="20" t="str">
        <x:v>https://www.rea-group.com/careers/graduate-programs/</x:v>
      </x:c>
      <x:c r="U12" s="20" t="str"/>
      <x:c r="V12" s="15" t="n">
        <x:v>46302.5</x:v>
      </x:c>
    </x:row>
    <x:row r="13" ht="78" customHeight="1">
      <x:c r="A13" s="13" t="str">
        <x:v>W-AU04</x:v>
      </x:c>
      <x:c r="B13" s="13" t="str">
        <x:v>高</x:v>
      </x:c>
      <x:c r="C13" s="13" t="str">
        <x:v>澳大利亚</x:v>
      </x:c>
      <x:c r="D13" s="13" t="str">
        <x:v>Xero</x:v>
      </x:c>
      <x:c r="E13" s="13" t="str">
        <x:v>Engineering Graduate Program（澳洲后续批次）</x:v>
      </x:c>
      <x:c r="F13" s="13" t="str">
        <x:v>Melbourne</x:v>
      </x:c>
      <x:c r="G13" s="13" t="str">
        <x:v>下轮观察</x:v>
      </x:c>
      <x:c r="H13" s="13" t="str">
        <x:v>尚未确认2027年7月后澳洲职位或入职日</x:v>
      </x:c>
      <x:c r="I13" s="13" t="str">
        <x:v>仅已核实项目主页，不能视为开放岗位</x:v>
      </x:c>
      <x:c r="J13" s="16"/>
      <x:c r="K13" s="13" t="str">
        <x:v>未公布明确截止日或时区</x:v>
      </x:c>
      <x:c r="L13" s="13" t="str">
        <x:v>当前工程岗位澳洲签证标准未核实。不能套用旧设计项目规则</x:v>
      </x:c>
      <x:c r="M13" s="13" t="str">
        <x:v>下一轮具体毕业/经验窗口待职位公告确认</x:v>
      </x:c>
      <x:c r="N13" s="13" t="str">
        <x:v>云产品与平台工程方向。AWS和C#项目相关</x:v>
      </x:c>
      <x:c r="O13" s="13" t="str">
        <x:v>国家/岗位级条件、技术栈和时间均待新公告</x:v>
      </x:c>
      <x:c r="P13" s="13" t="str">
        <x:v>关注Melbourne工程岗位。与新西兰Xero条目按国家分别核资格</x:v>
      </x:c>
      <x:c r="Q13" s="17" t="str">
        <x:v>待处理</x:v>
      </x:c>
      <x:c r="R13" s="17" t="str"/>
      <x:c r="S13" s="19" t="str"/>
      <x:c r="T13" s="21" t="str">
        <x:v>https://careers.xero.com/early-careers/</x:v>
      </x:c>
      <x:c r="U13" s="21" t="str"/>
      <x:c r="V13" s="16" t="n">
        <x:v>46302.5</x:v>
      </x:c>
    </x:row>
    <x:row r="14" ht="78" customHeight="1">
      <x:c r="A14" s="14" t="str">
        <x:v>W-AU05</x:v>
      </x:c>
      <x:c r="B14" s="14" t="str">
        <x:v>中</x:v>
      </x:c>
      <x:c r="C14" s="14" t="str">
        <x:v>澳大利亚</x:v>
      </x:c>
      <x:c r="D14" s="14" t="str">
        <x:v>Optiver</x:v>
      </x:c>
      <x:c r="E14" s="14" t="str">
        <x:v>EOI – Graduate Software Developer 2027</x:v>
      </x:c>
      <x:c r="F14" s="14" t="str">
        <x:v>Sydney</x:v>
      </x:c>
      <x:c r="G14" s="14" t="str">
        <x:v>仅EOI</x:v>
      </x:c>
      <x:c r="H14" s="14" t="str">
        <x:v>没有已核实晚于6月的起始日</x:v>
      </x:c>
      <x:c r="I14" s="14" t="str">
        <x:v>正式申请已关闭，仅人才意向。正文还出现2026旧文字</x:v>
      </x:c>
      <x:c r="J14" s="15"/>
      <x:c r="K14" s="14" t="str">
        <x:v>未公布明确截止日或时区</x:v>
      </x:c>
      <x:c r="L14" s="14" t="str">
        <x:v>AU/NZ公民、PR或可证明完整工作权</x:v>
      </x:c>
      <x:c r="M14" s="14" t="str">
        <x:v>相关技术专业最后一年或近期毕业。考核C++/Java/Python</x:v>
      </x:c>
      <x:c r="N14" s="14" t="str">
        <x:v>Python和软件项目有用，属于通用开发/交易技术路线</x:v>
      </x:c>
      <x:c r="O14" s="14" t="str">
        <x:v>低延迟/算法差距较大。EOI不等于正式申请轮次</x:v>
      </x:c>
      <x:c r="P14" s="14" t="str">
        <x:v>关注后续正式批次，不把意向登记算作在招机会</x:v>
      </x:c>
      <x:c r="Q14" s="17" t="str">
        <x:v>待处理</x:v>
      </x:c>
      <x:c r="R14" s="17" t="str"/>
      <x:c r="S14" s="19" t="str"/>
      <x:c r="T14" s="20" t="str">
        <x:v>https://www.optiver.com/join-us/jobs/technology/sydney/expressions-of-interest-graduate-software-developer-2027/</x:v>
      </x:c>
      <x:c r="U14" s="20" t="str"/>
      <x:c r="V14" s="15" t="n">
        <x:v>46302.5</x:v>
      </x:c>
    </x:row>
    <x:row r="15" ht="78" customHeight="1">
      <x:c r="A15" s="13" t="str">
        <x:v>W-AU06</x:v>
      </x:c>
      <x:c r="B15" s="13" t="str">
        <x:v>中</x:v>
      </x:c>
      <x:c r="C15" s="13" t="str">
        <x:v>澳大利亚</x:v>
      </x:c>
      <x:c r="D15" s="13" t="str">
        <x:v>Atlassian</x:v>
      </x:c>
      <x:c r="E15" s="13" t="str">
        <x:v>ANZ Graduate Software Engineering（后续批次）</x:v>
      </x:c>
      <x:c r="F15" s="13" t="str">
        <x:v>以新职位为准</x:v>
      </x:c>
      <x:c r="G15" s="13" t="str">
        <x:v>下轮观察</x:v>
      </x:c>
      <x:c r="H15" s="13" t="str">
        <x:v>ANZ常规2月入职。7月说明属于美国/加拿大/印度</x:v>
      </x:c>
      <x:c r="I15" s="13" t="str">
        <x:v>无已核实澳新2027年7月后在招职位。2028未宣布</x:v>
      </x:c>
      <x:c r="J15" s="16"/>
      <x:c r="K15" s="13" t="str">
        <x:v>未公布明确截止日或时区</x:v>
      </x:c>
      <x:c r="L15" s="13" t="str">
        <x:v>具体国家/岗位工作权须新公告核实</x:v>
      </x:c>
      <x:c r="M15" s="13" t="str">
        <x:v>未来职位毕业及学历条件待核实</x:v>
      </x:c>
      <x:c r="N15" s="13" t="str">
        <x:v>软件工程和云产品方向有潜在匹配</x:v>
      </x:c>
      <x:c r="O15" s="13" t="str">
        <x:v>官方当前筛选结果仅出现北美毕业生职位</x:v>
      </x:c>
      <x:c r="P15" s="13" t="str">
        <x:v>只关注澳新新职位，避免把其他国家7月入职规则套用到澳洲</x:v>
      </x:c>
      <x:c r="Q15" s="17" t="str">
        <x:v>待处理</x:v>
      </x:c>
      <x:c r="R15" s="17" t="str"/>
      <x:c r="S15" s="19" t="str"/>
      <x:c r="T15" s="21" t="str">
        <x:v>https://www.atlassian.com/company/careers/earlycareers</x:v>
      </x:c>
      <x:c r="U15" s="21" t="str">
        <x:v>https://www.atlassian.com/company/careers/all-jobs?team=Interns%2CGraduates</x:v>
      </x:c>
      <x:c r="V15" s="16" t="n">
        <x:v>46302.5</x:v>
      </x:c>
    </x:row>
    <x:row r="16" ht="78" customHeight="1">
      <x:c r="A16" s="14" t="str">
        <x:v>W-AU07</x:v>
      </x:c>
      <x:c r="B16" s="14" t="str">
        <x:v>低</x:v>
      </x:c>
      <x:c r="C16" s="14" t="str">
        <x:v>澳大利亚</x:v>
      </x:c>
      <x:c r="D16" s="14" t="str">
        <x:v>TikTok</x:v>
      </x:c>
      <x:c r="E16" s="14" t="str">
        <x:v>SRE Graduate – Video &amp; Edge Global Engineering（A159600）</x:v>
      </x:c>
      <x:c r="F16" s="14" t="str">
        <x:v>Sydney</x:v>
      </x:c>
      <x:c r="G16" s="14" t="str">
        <x:v>待核实</x:v>
      </x:c>
      <x:c r="H16" s="14" t="str">
        <x:v>2027标题及年底入职段落，与资格段“2026入职”矛盾</x:v>
      </x:c>
      <x:c r="I16" s="14" t="str">
        <x:v>不能确认符合2027毕业和晚入职</x:v>
      </x:c>
      <x:c r="J16" s="15"/>
      <x:c r="K16" s="14" t="str">
        <x:v>滚动筛选，未公布截止日</x:v>
      </x:c>
      <x:c r="L16" s="14" t="str">
        <x:v>签证、PR与担保政策未明</x:v>
      </x:c>
      <x:c r="M16" s="14" t="str">
        <x:v>技术本科学历或同等经验文字，IT硕士替代性待确认</x:v>
      </x:c>
      <x:c r="N16" s="14" t="str">
        <x:v>Linux、云、容器和自动化方向相关</x:v>
      </x:c>
      <x:c r="O16" s="14" t="str">
        <x:v>日期与学历双重歧义，且消耗TikTok两岗名额</x:v>
      </x:c>
      <x:c r="P16" s="14" t="str">
        <x:v>先选无矛盾的AU-01。除非招聘方澄清，否则不占用申请名额</x:v>
      </x:c>
      <x:c r="Q16" s="17" t="str">
        <x:v>待处理</x:v>
      </x:c>
      <x:c r="R16" s="17" t="str"/>
      <x:c r="S16" s="19" t="str"/>
      <x:c r="T16" s="20" t="str">
        <x:v>https://lifeattiktok.com/search/7622831959120038197</x:v>
      </x:c>
      <x:c r="U16" s="20" t="str">
        <x:v>https://lifeattiktok.com/earlycareers/faq/?language=en</x:v>
      </x:c>
      <x:c r="V16" s="15" t="n">
        <x:v>46302.5</x:v>
      </x:c>
    </x:row>
    <x:row r="17" ht="78" customHeight="1">
      <x:c r="A17" s="13" t="str">
        <x:v>W-AU08</x:v>
      </x:c>
      <x:c r="B17" s="13" t="str">
        <x:v>低</x:v>
      </x:c>
      <x:c r="C17" s="13" t="str">
        <x:v>澳大利亚</x:v>
      </x:c>
      <x:c r="D17" s="13" t="str">
        <x:v>TikTok</x:v>
      </x:c>
      <x:c r="E17" s="13" t="str">
        <x:v>Backend Graduate – TikTok Foundation（A68718A）</x:v>
      </x:c>
      <x:c r="F17" s="13" t="str">
        <x:v>Sydney</x:v>
      </x:c>
      <x:c r="G17" s="13" t="str">
        <x:v>待核实</x:v>
      </x:c>
      <x:c r="H17" s="13" t="str">
        <x:v>2027毕业生标题/年底入职，与2026年11–12月实习文字并存</x:v>
      </x:c>
      <x:c r="I17" s="13" t="str">
        <x:v>实际招实习还是毕业生及日期不明确</x:v>
      </x:c>
      <x:c r="J17" s="16"/>
      <x:c r="K17" s="13" t="str">
        <x:v>未公布可依赖的固定截止日</x:v>
      </x:c>
      <x:c r="L17" s="13" t="str">
        <x:v>签证条件未确认</x:v>
      </x:c>
      <x:c r="M17" s="13" t="str">
        <x:v>最低要求写正在读技术本科，与Monash硕士情况有差异</x:v>
      </x:c>
      <x:c r="N17" s="13" t="str">
        <x:v>后端方向潜在相关，尚不能作合格岗位推荐</x:v>
      </x:c>
      <x:c r="O17" s="13" t="str">
        <x:v>项目类型、时间和硕士资格均有歧义，消耗两岗名额</x:v>
      </x:c>
      <x:c r="P17" s="13" t="str">
        <x:v>先问清Master's eligibility及实际岗位类型，优先干净的三个正式岗位</x:v>
      </x:c>
      <x:c r="Q17" s="17" t="str">
        <x:v>待处理</x:v>
      </x:c>
      <x:c r="R17" s="17" t="str"/>
      <x:c r="S17" s="19" t="str"/>
      <x:c r="T17" s="21" t="str">
        <x:v>https://lifeattiktok.com/search/7660367427276261685</x:v>
      </x:c>
      <x:c r="U17" s="21" t="str">
        <x:v>https://lifeattiktok.com/earlycareers/faq/?language=en</x:v>
      </x:c>
      <x:c r="V17" s="16" t="n">
        <x:v>46302.5</x:v>
      </x:c>
    </x:row>
    <x:row r="18" ht="78" customHeight="1">
      <x:c r="A18" s="14" t="str">
        <x:v>W-NZ01</x:v>
      </x:c>
      <x:c r="B18" s="14" t="str">
        <x:v>高</x:v>
      </x:c>
      <x:c r="C18" s="14" t="str">
        <x:v>新西兰</x:v>
      </x:c>
      <x:c r="D18" s="14" t="str">
        <x:v>Datacom</x:v>
      </x:c>
      <x:c r="E18" s="14" t="str">
        <x:v>Early Careers – Software / Cloud Pathways</x:v>
      </x:c>
      <x:c r="F18" s="14" t="str">
        <x:v>以新职位为准</x:v>
      </x:c>
      <x:c r="G18" s="14" t="str">
        <x:v>下轮观察</x:v>
      </x:c>
      <x:c r="H18" s="14" t="str">
        <x:v>官网说明全年招聘，但没有明确2027年7月岗位</x:v>
      </x:c>
      <x:c r="I18" s="14" t="str">
        <x:v>全年模式可关注，当前岗位不能默认延期9个月</x:v>
      </x:c>
      <x:c r="J18" s="15"/>
      <x:c r="K18" s="14" t="str">
        <x:v>未公布明确截止日或时区</x:v>
      </x:c>
      <x:c r="L18" s="14" t="str">
        <x:v>当前通用页未给统一签证政策。历史批次要求NZ工作权且已在NZ，不能当未来承诺</x:v>
      </x:c>
      <x:c r="M18" s="14" t="str">
        <x:v>新职位核实毕业期、经验及本地居住条件</x:v>
      </x:c>
      <x:c r="N18" s="14" t="str">
        <x:v>软件/云方向契合AWS、Terraform、Linux与CI/CD</x:v>
      </x:c>
      <x:c r="O18" s="14" t="str">
        <x:v>必须筛掉纯服务台岗位。历史2026年4–5月入职已过期</x:v>
      </x:c>
      <x:c r="P18" s="14" t="str">
        <x:v>在临近可入职期查看软件/云实际岗位，先核城市、居住和签证条件</x:v>
      </x:c>
      <x:c r="Q18" s="17" t="str">
        <x:v>待处理</x:v>
      </x:c>
      <x:c r="R18" s="17" t="str"/>
      <x:c r="S18" s="19" t="str"/>
      <x:c r="T18" s="20" t="str">
        <x:v>https://datacom.com/nz/en/careers/graduates</x:v>
      </x:c>
      <x:c r="U18" s="20" t="str"/>
      <x:c r="V18" s="15" t="n">
        <x:v>46302.5</x:v>
      </x:c>
    </x:row>
    <x:row r="19" ht="78" customHeight="1">
      <x:c r="A19" s="13" t="str">
        <x:v>W-NZ02</x:v>
      </x:c>
      <x:c r="B19" s="13" t="str">
        <x:v>高</x:v>
      </x:c>
      <x:c r="C19" s="13" t="str">
        <x:v>新西兰</x:v>
      </x:c>
      <x:c r="D19" s="13" t="str">
        <x:v>Sandfield</x:v>
      </x:c>
      <x:c r="E19" s="13" t="str">
        <x:v>Graduate / Junior Software Development</x:v>
      </x:c>
      <x:c r="F19" s="13" t="str">
        <x:v>Auckland</x:v>
      </x:c>
      <x:c r="G19" s="13" t="str">
        <x:v>下轮观察</x:v>
      </x:c>
      <x:c r="H19" s="13" t="str">
        <x:v>项目/开发者招募入口可核实，未来具体起始日未列</x:v>
      </x:c>
      <x:c r="I19" s="13" t="str">
        <x:v>全年弹性实习路径不等于已开放7月2027全职毕业生岗</x:v>
      </x:c>
      <x:c r="J19" s="16"/>
      <x:c r="K19" s="13" t="str">
        <x:v>未公布明确截止日或时区</x:v>
      </x:c>
      <x:c r="L19" s="13" t="str">
        <x:v>检查页未公布签证政策，须职位级确认</x:v>
      </x:c>
      <x:c r="M19" s="13" t="str">
        <x:v>偏好CS/SWE，也认可非完全对口背景、自学与课外项目</x:v>
      </x:c>
      <x:c r="N19" s="13" t="str">
        <x:v>微软技术栈和集成/交易系统，Unity/C#可证明编程基础</x:v>
      </x:c>
      <x:c r="O19" s="13" t="str">
        <x:v>需补.NET/Web、SQL与业务系统经验；不能把Unity等同企业.NET</x:v>
      </x:c>
      <x:c r="P19" s="13" t="str">
        <x:v>关注实际graduate/junior开发岗，展示C#基础及后端转化能力</x:v>
      </x:c>
      <x:c r="Q19" s="17" t="str">
        <x:v>待处理</x:v>
      </x:c>
      <x:c r="R19" s="17" t="str"/>
      <x:c r="S19" s="19" t="str"/>
      <x:c r="T19" s="21" t="str">
        <x:v>https://www.sandfield.co.nz/careers/interns-graduates</x:v>
      </x:c>
      <x:c r="U19" s="21" t="str">
        <x:v>https://www.sandfield.co.nz/careers/software-developers</x:v>
      </x:c>
      <x:c r="V19" s="16" t="n">
        <x:v>46302.5</x:v>
      </x:c>
    </x:row>
    <x:row r="20" ht="78" customHeight="1">
      <x:c r="A20" s="14" t="str">
        <x:v>W-NZ03</x:v>
      </x:c>
      <x:c r="B20" s="14" t="str">
        <x:v>中</x:v>
      </x:c>
      <x:c r="C20" s="14" t="str">
        <x:v>新西兰</x:v>
      </x:c>
      <x:c r="D20" s="14" t="str">
        <x:v>FNZ</x:v>
      </x:c>
      <x:c r="E20" s="14" t="str">
        <x:v>Technology Solutions Graduate Pathway</x:v>
      </x:c>
      <x:c r="F20" s="14" t="str">
        <x:v>Auckland / Wellington，按岗位</x:v>
      </x:c>
      <x:c r="G20" s="14" t="str">
        <x:v>下轮观察</x:v>
      </x:c>
      <x:c r="H20" s="14" t="str">
        <x:v>没有已核实NZ2027正式职位或晚入职日期</x:v>
      </x:c>
      <x:c r="I20" s="14" t="str">
        <x:v>旧外站滚动招聘已过期，不能延续为当前开放</x:v>
      </x:c>
      <x:c r="J20" s="15"/>
      <x:c r="K20" s="14" t="str">
        <x:v>未公布明确截止日或时区</x:v>
      </x:c>
      <x:c r="L20" s="14" t="str">
        <x:v>工签/PR规则须实际职位核实</x:v>
      </x:c>
      <x:c r="M20" s="14" t="str">
        <x:v>本科或以上及编程基础；新职位具体条件待核</x:v>
      </x:c>
      <x:c r="N20" s="14" t="str">
        <x:v>软件开发/测试与金融平台交付方向，后端项目可相关</x:v>
      </x:c>
      <x:c r="O20" s="14" t="str">
        <x:v>具体C#/云技术栈须职位确认，不能从公司历史推断</x:v>
      </x:c>
      <x:c r="P20" s="14" t="str">
        <x:v>等待NZ具体技术职位，检查起始日、工作权和毕业条件</x:v>
      </x:c>
      <x:c r="Q20" s="17" t="str">
        <x:v>待处理</x:v>
      </x:c>
      <x:c r="R20" s="17" t="str"/>
      <x:c r="S20" s="19" t="str"/>
      <x:c r="T20" s="20" t="str">
        <x:v>https://fnz.com/careers/graduates</x:v>
      </x:c>
      <x:c r="U20" s="20" t="str">
        <x:v>https://fnz.com/careers</x:v>
      </x:c>
      <x:c r="V20" s="15" t="n">
        <x:v>46302.5</x:v>
      </x:c>
    </x:row>
    <x:row r="21" ht="78" customHeight="1">
      <x:c r="A21" s="13" t="str">
        <x:v>W-NZ04</x:v>
      </x:c>
      <x:c r="B21" s="13" t="str">
        <x:v>高</x:v>
      </x:c>
      <x:c r="C21" s="13" t="str">
        <x:v>新西兰</x:v>
      </x:c>
      <x:c r="D21" s="13" t="str">
        <x:v>Xero</x:v>
      </x:c>
      <x:c r="E21" s="13" t="str">
        <x:v>Graduate Engineering（NZ后续批次）</x:v>
      </x:c>
      <x:c r="F21" s="13" t="str">
        <x:v>Auckland / Wellington，按岗位</x:v>
      </x:c>
      <x:c r="G21" s="13" t="str">
        <x:v>下轮观察</x:v>
      </x:c>
      <x:c r="H21" s="13" t="str">
        <x:v>适合批次日期未宣布。旧NZ页面为2026年2月</x:v>
      </x:c>
      <x:c r="I21" s="13" t="str">
        <x:v>2028仅规划可能，不能标成已确认</x:v>
      </x:c>
      <x:c r="J21" s="16"/>
      <x:c r="K21" s="13" t="str">
        <x:v>未公布明确截止日或时区</x:v>
      </x:c>
      <x:c r="L21" s="13" t="str">
        <x:v>历史NZ项目接受全职工作权或毕业后可获资格，新批次需重核</x:v>
      </x:c>
      <x:c r="M21" s="13" t="str">
        <x:v>当前FAQ称少于1年职业经验。个人项目不算雇佣经历</x:v>
      </x:c>
      <x:c r="N21" s="13" t="str">
        <x:v>历史官方技术栈AWS、C#、SQL、React。C#/AWS组合较贴近</x:v>
      </x:c>
      <x:c r="O21" s="13" t="str">
        <x:v>当前工程职位和入职日未证实，需HackerRank准备</x:v>
      </x:c>
      <x:c r="P21" s="13" t="str">
        <x:v>优先关注后续NZ工程批次，与澳洲地区申请分开核工作权</x:v>
      </x:c>
      <x:c r="Q21" s="17" t="str">
        <x:v>待处理</x:v>
      </x:c>
      <x:c r="R21" s="17" t="str"/>
      <x:c r="S21" s="19" t="str"/>
      <x:c r="T21" s="21" t="str">
        <x:v>https://careers.xero.com/early-careers/</x:v>
      </x:c>
      <x:c r="U21" s="21" t="str">
        <x:v>https://www.xero.com/nz/graduate/internships/</x:v>
      </x:c>
      <x:c r="V21" s="16" t="n">
        <x:v>46302.5</x:v>
      </x:c>
    </x:row>
    <x:row r="22" ht="78" customHeight="1">
      <x:c r="A22" s="14" t="str">
        <x:v>W-NZ05</x:v>
      </x:c>
      <x:c r="B22" s="14" t="str">
        <x:v>高</x:v>
      </x:c>
      <x:c r="C22" s="14" t="str">
        <x:v>新西兰</x:v>
      </x:c>
      <x:c r="D22" s="14" t="str">
        <x:v>Catalyst Cloud</x:v>
      </x:c>
      <x:c r="E22" s="14" t="str">
        <x:v>Junior Cloud Engineer / DevOps-Software Engineer（历史岗位）</x:v>
      </x:c>
      <x:c r="F22" s="14" t="str">
        <x:v>Wellington</x:v>
      </x:c>
      <x:c r="G22" s="14" t="str">
        <x:v>下轮观察</x:v>
      </x:c>
      <x:c r="H22" s="14" t="str">
        <x:v>历史职位未列未来起始日，已关闭</x:v>
      </x:c>
      <x:c r="I22" s="14" t="str">
        <x:v>仅为再次出现同类岗位时的目标</x:v>
      </x:c>
      <x:c r="J22" s="15" t="n">
        <x:v>46151.5</x:v>
      </x:c>
      <x:c r="K22" s="14" t="str">
        <x:v>历史ATS截止日，已过期；时区未注明</x:v>
      </x:c>
      <x:c r="L22" s="14" t="str">
        <x:v>历史广告保留内容不能确认签证/安全许可规则</x:v>
      </x:c>
      <x:c r="M22" s="14" t="str">
        <x:v>历史雇主公告欢迎初级人才/近期毕业者，下一职位需重核</x:v>
      </x:c>
      <x:c r="N22" s="14" t="str">
        <x:v>历史岗位Python、OpenStack、Kubernetes、Ansible、GitLab CI/CD，云方向贴近</x:v>
      </x:c>
      <x:c r="O22" s="14" t="str">
        <x:v>缺少生产云经验，Kubernetes仍在学习；搜索摘要可能滞后</x:v>
      </x:c>
      <x:c r="P22" s="14" t="str">
        <x:v>关注雇主新岗位。不投已失效历史ATS</x:v>
      </x:c>
      <x:c r="Q22" s="17" t="str">
        <x:v>待处理</x:v>
      </x:c>
      <x:c r="R22" s="17" t="str"/>
      <x:c r="S22" s="19" t="str"/>
      <x:c r="T22" s="20" t="str">
        <x:v>https://www.catalyst.net.nz/candc-careers/candc-available-positions</x:v>
      </x:c>
      <x:c r="U22" s="20" t="str">
        <x:v>https://qjumpersjobs.co/jobs/details/1100636</x:v>
      </x:c>
      <x:c r="V22" s="15" t="n">
        <x:v>46302.5</x:v>
      </x:c>
    </x:row>
    <x:row r="23" ht="78" customHeight="1">
      <x:c r="A23" s="13" t="str">
        <x:v>W-NZ06</x:v>
      </x:c>
      <x:c r="B23" s="13" t="str">
        <x:v>高</x:v>
      </x:c>
      <x:c r="C23" s="13" t="str">
        <x:v>新西兰</x:v>
      </x:c>
      <x:c r="D23" s="13" t="str">
        <x:v>Vista Group</x:v>
      </x:c>
      <x:c r="E23" s="13" t="str">
        <x:v>Graduate Software Engineer（历史岗位）</x:v>
      </x:c>
      <x:c r="F23" s="13" t="str">
        <x:v>Auckland，混合办公</x:v>
      </x:c>
      <x:c r="G23" s="13" t="str">
        <x:v>下轮观察</x:v>
      </x:c>
      <x:c r="H23" s="13" t="str">
        <x:v>历史职位要求立即入职，原职位现不可用</x:v>
      </x:c>
      <x:c r="I23" s="13" t="str">
        <x:v>只保留未来类似岗位，不默认延期至2027年7月</x:v>
      </x:c>
      <x:c r="J23" s="16"/>
      <x:c r="K23" s="13" t="str">
        <x:v>未公布明确截止日或时区</x:v>
      </x:c>
      <x:c r="L23" s="13" t="str">
        <x:v>历史岗位未明确签证规则，新职位须核</x:v>
      </x:c>
      <x:c r="M23" s="13" t="str">
        <x:v>历史岗位要求已毕业</x:v>
      </x:c>
      <x:c r="N23" s="13" t="str">
        <x:v>C#/.NET6、SQL Server、Docker/Kubernetes、Azure/AWS。电影领域与BA背景相关</x:v>
      </x:c>
      <x:c r="O23" s="13" t="str">
        <x:v>Unity/C#不等同商业.NET经验；立即入职旧岗不合时间</x:v>
      </x:c>
      <x:c r="P23" s="13" t="str">
        <x:v>未来出现适合入职期的junior/graduate岗位时再评估</x:v>
      </x:c>
      <x:c r="Q23" s="17" t="str">
        <x:v>待处理</x:v>
      </x:c>
      <x:c r="R23" s="17" t="str"/>
      <x:c r="S23" s="19" t="str"/>
      <x:c r="T23" s="21" t="str">
        <x:v>https://apply.workable.com/vista-group/</x:v>
      </x:c>
      <x:c r="U23" s="21" t="str">
        <x:v>https://jobs.workable.com/view/mtLwB8comKQNQSxMN3Xs7q/hybrid-graduate-software-engineer-in-auckland-at-vista-group</x:v>
      </x:c>
      <x:c r="V23" s="16" t="n">
        <x:v>46302.5</x:v>
      </x:c>
    </x:row>
    <x:row r="24" ht="78" customHeight="1">
      <x:c r="A24" s="14" t="str">
        <x:v>W-NZ07</x:v>
      </x:c>
      <x:c r="B24" s="14" t="str">
        <x:v>中</x:v>
      </x:c>
      <x:c r="C24" s="14" t="str">
        <x:v>新西兰</x:v>
      </x:c>
      <x:c r="D24" s="14" t="str">
        <x:v>Serato</x:v>
      </x:c>
      <x:c r="E24" s="14" t="str">
        <x:v>Software Development Graduate Programme（后续批次）</x:v>
      </x:c>
      <x:c r="F24" s="14" t="str">
        <x:v>Auckland</x:v>
      </x:c>
      <x:c r="G24" s="14" t="str">
        <x:v>下轮观察</x:v>
      </x:c>
      <x:c r="H24" s="14" t="str">
        <x:v>2027正式岗位已关闭。未来入职日未宣布</x:v>
      </x:c>
      <x:c r="I24" s="14" t="str">
        <x:v>无7月2027+日期证据，也无确认2028批次</x:v>
      </x:c>
      <x:c r="J24" s="15"/>
      <x:c r="K24" s="14" t="str">
        <x:v>官方已关闭但不再显示截止日。未采用二手截止日期</x:v>
      </x:c>
      <x:c r="L24" s="14" t="str">
        <x:v>旧广告不再展示完整条件，下一轮需查</x:v>
      </x:c>
      <x:c r="M24" s="14" t="str">
        <x:v>下一轮学历、成绩及经验门槛待核</x:v>
      </x:c>
      <x:c r="N24" s="14" t="str">
        <x:v>音频/图形/UI软件方向与游戏编程和Theatre/Film背景有交集</x:v>
      </x:c>
      <x:c r="O24" s="14" t="str">
        <x:v>C++/音频专长可能重要，云方向弱于Catalyst/Vista</x:v>
      </x:c>
      <x:c r="P24" s="14" t="str">
        <x:v>保留下一轮软件岗位观察，不当作现在可投</x:v>
      </x:c>
      <x:c r="Q24" s="17" t="str">
        <x:v>待处理</x:v>
      </x:c>
      <x:c r="R24" s="17" t="str"/>
      <x:c r="S24" s="19" t="str"/>
      <x:c r="T24" s="20" t="str">
        <x:v>https://serato-limited.breezy.hr/p/07a449a8c1d5-2027-serato-graduate-programme-software-development</x:v>
      </x:c>
      <x:c r="U24" s="20" t="str">
        <x:v>https://serato-limited.breezy.hr/</x:v>
      </x:c>
      <x:c r="V24" s="15" t="n">
        <x:v>46302.5</x:v>
      </x:c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</x:sheetData>
  <x:conditionalFormatting sqref="Q10:Q24">
    <x:cfRule type="containsText" dxfId="2" priority="1" operator="containsText" text="已申请"/>
    <x:cfRule type="containsText" dxfId="3" priority="2" operator="containsText" text="待询问"/>
  </x:conditionalFormatting>
  <x:dataValidations count="1">
    <x:dataValidation type="list" sqref="Q10:Q24">
      <x:formula1>"待处理,待询问,准备材料,已申请,面试中,已结束,暂不申请"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5c31cdd8f3411d"/>
  </x:tableParts>
</x:worksheet>
</file>

<file path=xl/worksheets/sheet3.xml><?xml version="1.0" encoding="utf-8"?>
<x:worksheet xmlns:x="http://schemas.openxmlformats.org/spreadsheetml/2006/main">
  <x:sheetPr>
    <x:tabColor rgb="FFA5AFBA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42" hidden="0" customWidth="1"/>
    <x:col min="6" max="6" width="19" hidden="0" customWidth="1"/>
    <x:col min="7" max="7" width="25" hidden="0" customWidth="1"/>
    <x:col min="8" max="8" width="38" hidden="0" customWidth="1"/>
    <x:col min="9" max="9" width="38" hidden="0" customWidth="1"/>
    <x:col min="10" max="10" width="17" hidden="0" customWidth="1"/>
    <x:col min="11" max="11" width="34" hidden="0" customWidth="1"/>
    <x:col min="12" max="12" width="48" hidden="0" customWidth="1"/>
    <x:col min="13" max="13" width="45" hidden="0" customWidth="1"/>
    <x:col min="14" max="14" width="54" hidden="0" customWidth="1"/>
    <x:col min="15" max="15" width="54" hidden="0" customWidth="1"/>
    <x:col min="16" max="16" width="54" hidden="0" customWidth="1"/>
    <x:col min="17" max="17" width="22" hidden="0" customWidth="1"/>
    <x:col min="18" max="18" width="46" hidden="0" customWidth="1"/>
    <x:col min="19" max="19" width="3" hidden="0" customWidth="1"/>
    <x:col min="20" max="20" width="65" hidden="0" customWidth="1"/>
    <x:col min="21" max="21" width="65" hidden="0" customWidth="1"/>
    <x:col min="22" max="22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3" t="str">
        <x:v>已核查但不符合当前条件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2" customHeight="1">
      <x:c r="A4" s="2" t="str">
        <x:v>核查日</x:v>
      </x:c>
      <x:c r="B4" s="5" t="n">
        <x:v>46302.5</x:v>
      </x:c>
      <x:c r="C4" s="2"/>
      <x:c r="D4" s="2" t="str">
        <x:v>最早可入职</x:v>
      </x:c>
      <x:c r="E4" s="5" t="n">
        <x:v>46569.5</x:v>
      </x:c>
      <x:c r="F4" s="2"/>
      <x:c r="G4" s="2" t="str">
        <x:v>工作权假设</x:v>
      </x:c>
      <x:c r="H4" s="2" t="str">
        <x:v>具备全职工作许可，不等于PR或公民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6" t="str">
        <x:v>12条不匹配记录。nbn与ANZ的2028 EOI时间虽合适，但普通工签不满足公民/PR门槛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2" customHeight="1">
      <x:c r="A6" s="2" t="str">
        <x:v>记录数</x:v>
      </x:c>
      <x:c r="B6" s="2" t="n">
        <x:f>COUNTA(A10:A21)</x:f>
        <x:v>12</x:v>
      </x:c>
      <x:c r="C6" s="2"/>
      <x:c r="D6" s="2" t="str">
        <x:v>正式招聘</x:v>
      </x:c>
      <x:c r="E6" s="2" t="n">
        <x:f>COUNTIFS(G10:G21,"正式招聘（滚动）")</x:f>
        <x:v>0</x:v>
      </x:c>
      <x:c r="F6" s="2"/>
      <x:c r="G6" s="2" t="str">
        <x:v>仅登记意向</x:v>
      </x:c>
      <x:c r="H6" s="2" t="n">
        <x:f>COUNTIFS(G10:G21,"仅EOI")</x:f>
        <x:v>2</x:v>
      </x:c>
      <x:c r="I6" s="2"/>
      <x:c r="J6" s="6" t="str">
        <x:v>我的进度和备注可自行填写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45" customHeight="1">
      <x:c r="A9" s="10" t="str">
        <x:v>编号</x:v>
      </x:c>
      <x:c r="B9" s="10" t="str">
        <x:v>优先级</x:v>
      </x:c>
      <x:c r="C9" s="10" t="str">
        <x:v>国家</x:v>
      </x:c>
      <x:c r="D9" s="10" t="str">
        <x:v>公司</x:v>
      </x:c>
      <x:c r="E9" s="10" t="str">
        <x:v>岗位或项目</x:v>
      </x:c>
      <x:c r="F9" s="10" t="str">
        <x:v>城市</x:v>
      </x:c>
      <x:c r="G9" s="10" t="str">
        <x:v>招聘状态</x:v>
      </x:c>
      <x:c r="H9" s="10" t="str">
        <x:v>入职时间依据</x:v>
      </x:c>
      <x:c r="I9" s="10" t="str">
        <x:v>与2027年7月后入职的关系</x:v>
      </x:c>
      <x:c r="J9" s="10" t="str">
        <x:v>明确截止日</x:v>
      </x:c>
      <x:c r="K9" s="10" t="str">
        <x:v>截止与时区说明</x:v>
      </x:c>
      <x:c r="L9" s="10" t="str">
        <x:v>工签、PR与国籍条件</x:v>
      </x:c>
      <x:c r="M9" s="10" t="str">
        <x:v>毕业与经验条件</x:v>
      </x:c>
      <x:c r="N9" s="10" t="str">
        <x:v>匹配证据</x:v>
      </x:c>
      <x:c r="O9" s="10" t="str">
        <x:v>主要差距或风险</x:v>
      </x:c>
      <x:c r="P9" s="10" t="str">
        <x:v>建议下一步</x:v>
      </x:c>
      <x:c r="Q9" s="10" t="str">
        <x:v>我的进度</x:v>
      </x:c>
      <x:c r="R9" s="10" t="str">
        <x:v>我的备注</x:v>
      </x:c>
      <x:c r="S9" s="18" t="str">
        <x:v>来源区</x:v>
      </x:c>
      <x:c r="T9" s="10" t="str">
        <x:v>主要来源</x:v>
      </x:c>
      <x:c r="U9" s="10" t="str">
        <x:v>补充来源</x:v>
      </x:c>
      <x:c r="V9" s="10" t="str">
        <x:v>核查日期</x:v>
      </x:c>
    </x:row>
    <x:row r="10" ht="78" customHeight="1">
      <x:c r="A10" s="14" t="str">
        <x:v>X-AU01</x:v>
      </x:c>
      <x:c r="B10" s="14" t="str">
        <x:v>排除</x:v>
      </x:c>
      <x:c r="C10" s="14" t="str">
        <x:v>澳大利亚</x:v>
      </x:c>
      <x:c r="D10" s="14" t="str">
        <x:v>Amazon AWS</x:v>
      </x:c>
      <x:c r="E10" s="14" t="str">
        <x:v>Software Development Graduate 2027（10462014）</x:v>
      </x:c>
      <x:c r="F10" s="14" t="str">
        <x:v>Sydney</x:v>
      </x:c>
      <x:c r="G10" s="14" t="str">
        <x:v>不匹配</x:v>
      </x:c>
      <x:c r="H10" s="14" t="str">
        <x:v>明确2027年1月至6月开始</x:v>
      </x:c>
      <x:c r="I10" s="14" t="str">
        <x:v>早于最早可入职日期</x:v>
      </x:c>
      <x:c r="J10" s="15"/>
      <x:c r="K10" s="14" t="str">
        <x:v>未公布明确截止日或时区</x:v>
      </x:c>
      <x:c r="L10" s="14" t="str">
        <x:v>无需以工作权推翻明确日期不符</x:v>
      </x:c>
      <x:c r="M10" s="14" t="str">
        <x:v>最后一学期或近24个月毕业</x:v>
      </x:c>
      <x:c r="N10" s="14" t="str">
        <x:v>AWS方向很贴近，但时间不符</x:v>
      </x:c>
      <x:c r="O10" s="14" t="str">
        <x:v>不能假设可以延期到7月</x:v>
      </x:c>
      <x:c r="P10" s="14" t="str">
        <x:v>仅在招聘方明确另有晚入职批次时重新纳入</x:v>
      </x:c>
      <x:c r="Q10" s="17" t="str">
        <x:v>待处理</x:v>
      </x:c>
      <x:c r="R10" s="17" t="str"/>
      <x:c r="S10" s="19" t="str"/>
      <x:c r="T10" s="20" t="str">
        <x:v>https://www.amazon.jobs/it/jobs/10462014/software-development-graduate-aws-2027-sydney</x:v>
      </x:c>
      <x:c r="U10" s="20" t="str"/>
      <x:c r="V10" s="15" t="n">
        <x:v>46302.5</x:v>
      </x:c>
    </x:row>
    <x:row r="11" ht="78" customHeight="1">
      <x:c r="A11" s="13" t="str">
        <x:v>X-US01</x:v>
      </x:c>
      <x:c r="B11" s="13" t="str">
        <x:v>排除</x:v>
      </x:c>
      <x:c r="C11" s="13" t="str">
        <x:v>美国</x:v>
      </x:c>
      <x:c r="D11" s="13" t="str">
        <x:v>IMC</x:v>
      </x:c>
      <x:c r="E11" s="13" t="str">
        <x:v>Graduate Software Engineer Feb/Aug 2027（4818790101）</x:v>
      </x:c>
      <x:c r="F11" s="13" t="str">
        <x:v>Chicago</x:v>
      </x:c>
      <x:c r="G11" s="13" t="str">
        <x:v>不匹配</x:v>
      </x:c>
      <x:c r="H11" s="13" t="str">
        <x:v>2027年2月或8月</x:v>
      </x:c>
      <x:c r="I11" s="13" t="str">
        <x:v>8月时间虽合适，国家不在澳新范围</x:v>
      </x:c>
      <x:c r="J11" s="16"/>
      <x:c r="K11" s="13" t="str">
        <x:v>未公布明确截止日或时区</x:v>
      </x:c>
      <x:c r="L11" s="13" t="str">
        <x:v>美国工作权不在本次假设内</x:v>
      </x:c>
      <x:c r="M11" s="13" t="str">
        <x:v>不进一步按澳新资格筛选</x:v>
      </x:c>
      <x:c r="N11" s="13" t="str"/>
      <x:c r="O11" s="13" t="str">
        <x:v>地区URL容易误导，职位实际位于Chicago</x:v>
      </x:c>
      <x:c r="P11" s="13" t="str">
        <x:v>排除该具体岗位。澳新同名职位须重新核实</x:v>
      </x:c>
      <x:c r="Q11" s="17" t="str">
        <x:v>待处理</x:v>
      </x:c>
      <x:c r="R11" s="17" t="str"/>
      <x:c r="S11" s="19" t="str"/>
      <x:c r="T11" s="21" t="str">
        <x:v>https://www.imc.com/in/careers/jobs/4818790101</x:v>
      </x:c>
      <x:c r="U11" s="21" t="str"/>
      <x:c r="V11" s="16" t="n">
        <x:v>46302.5</x:v>
      </x:c>
    </x:row>
    <x:row r="12" ht="78" customHeight="1">
      <x:c r="A12" s="14" t="str">
        <x:v>X-AU02</x:v>
      </x:c>
      <x:c r="B12" s="14" t="str">
        <x:v>排除</x:v>
      </x:c>
      <x:c r="C12" s="14" t="str">
        <x:v>澳大利亚</x:v>
      </x:c>
      <x:c r="D12" s="14" t="str">
        <x:v>Mastercard</x:v>
      </x:c>
      <x:c r="E12" s="14" t="str">
        <x:v>Software Engineer I – Launch 2027（R-255330）</x:v>
      </x:c>
      <x:c r="F12" s="14" t="str">
        <x:v>Sydney</x:v>
      </x:c>
      <x:c r="G12" s="14" t="str">
        <x:v>不匹配</x:v>
      </x:c>
      <x:c r="H12" s="14" t="str">
        <x:v>2027-02-01</x:v>
      </x:c>
      <x:c r="I12" s="14" t="str">
        <x:v>早于可入职期且已截止</x:v>
      </x:c>
      <x:c r="J12" s="15" t="n">
        <x:v>46150.5</x:v>
      </x:c>
      <x:c r="K12" s="14" t="str">
        <x:v>已截止；时区未确认</x:v>
      </x:c>
      <x:c r="L12" s="14" t="str">
        <x:v>仅AU/NZ公民或PR，普通工签不满足</x:v>
      </x:c>
      <x:c r="M12" s="14" t="str">
        <x:v>毕业窗口2026年7月至2027年2月</x:v>
      </x:c>
      <x:c r="N12" s="14" t="str">
        <x:v>软件方向相关，但三重硬门槛不符</x:v>
      </x:c>
      <x:c r="O12" s="14" t="str">
        <x:v>入职、毕业窗口、PR/国籍均不符</x:v>
      </x:c>
      <x:c r="P12" s="14" t="str">
        <x:v>排除该批次</x:v>
      </x:c>
      <x:c r="Q12" s="17" t="str">
        <x:v>待处理</x:v>
      </x:c>
      <x:c r="R12" s="17" t="str"/>
      <x:c r="S12" s="19" t="str"/>
      <x:c r="T12" s="20" t="str">
        <x:v>https://mastercard.wd1.myworkdayjobs.com/en-US/Campus/job/Software-Engineer-I--2027-Mastercard-Launch-Graduate-Program---Sydney--Australia_R-255330</x:v>
      </x:c>
      <x:c r="U12" s="20" t="str"/>
      <x:c r="V12" s="15" t="n">
        <x:v>46302.5</x:v>
      </x:c>
    </x:row>
    <x:row r="13" ht="78" customHeight="1">
      <x:c r="A13" s="13" t="str">
        <x:v>X-AU03</x:v>
      </x:c>
      <x:c r="B13" s="13" t="str">
        <x:v>排除</x:v>
      </x:c>
      <x:c r="C13" s="13" t="str">
        <x:v>澳大利亚</x:v>
      </x:c>
      <x:c r="D13" s="13" t="str">
        <x:v>Luxury Escapes</x:v>
      </x:c>
      <x:c r="E13" s="13" t="str">
        <x:v>Graduate Program – Software Engineer 2027</x:v>
      </x:c>
      <x:c r="F13" s="13" t="str">
        <x:v>见具体职位</x:v>
      </x:c>
      <x:c r="G13" s="13" t="str">
        <x:v>不匹配</x:v>
      </x:c>
      <x:c r="H13" s="13" t="str">
        <x:v>2027年2月</x:v>
      </x:c>
      <x:c r="I13" s="13" t="str">
        <x:v>早于可入职期</x:v>
      </x:c>
      <x:c r="J13" s="16"/>
      <x:c r="K13" s="13" t="str">
        <x:v>未公布明确截止日或时区</x:v>
      </x:c>
      <x:c r="L13" s="13" t="str">
        <x:v>时间和毕业窗口已不符，无需假定签证资格</x:v>
      </x:c>
      <x:c r="M13" s="13" t="str">
        <x:v>要求2025或2026年毕业</x:v>
      </x:c>
      <x:c r="N13" s="13" t="str"/>
      <x:c r="O13" s="13" t="str">
        <x:v>2027毕业不在该窗口</x:v>
      </x:c>
      <x:c r="P13" s="13" t="str">
        <x:v>排除该批次</x:v>
      </x:c>
      <x:c r="Q13" s="17" t="str">
        <x:v>待处理</x:v>
      </x:c>
      <x:c r="R13" s="17" t="str"/>
      <x:c r="S13" s="19" t="str"/>
      <x:c r="T13" s="21" t="str">
        <x:v>https://jobs.smartrecruiters.com/LuxuryEscapes/6000000001429835-luxury-escapes-graduate-program-software-engineer</x:v>
      </x:c>
      <x:c r="U13" s="21" t="str"/>
      <x:c r="V13" s="16" t="n">
        <x:v>46302.5</x:v>
      </x:c>
    </x:row>
    <x:row r="14" ht="78" customHeight="1">
      <x:c r="A14" s="14" t="str">
        <x:v>X-AU04</x:v>
      </x:c>
      <x:c r="B14" s="14" t="str">
        <x:v>排除</x:v>
      </x:c>
      <x:c r="C14" s="14" t="str">
        <x:v>澳大利亚</x:v>
      </x:c>
      <x:c r="D14" s="14" t="str">
        <x:v>Capgemini</x:v>
      </x:c>
      <x:c r="E14" s="14" t="str">
        <x:v>Graduate（549150）</x:v>
      </x:c>
      <x:c r="F14" s="14" t="str">
        <x:v>Melbourne</x:v>
      </x:c>
      <x:c r="G14" s="14" t="str">
        <x:v>不匹配</x:v>
      </x:c>
      <x:c r="H14" s="14" t="str">
        <x:v>2027年3月</x:v>
      </x:c>
      <x:c r="I14" s="14" t="str">
        <x:v>早于可入职期</x:v>
      </x:c>
      <x:c r="J14" s="15"/>
      <x:c r="K14" s="14" t="str">
        <x:v>未公布明确截止日或时区</x:v>
      </x:c>
      <x:c r="L14" s="14" t="str">
        <x:v>未进一步核实</x:v>
      </x:c>
      <x:c r="M14" s="14" t="str">
        <x:v>本次因明确日期排除</x:v>
      </x:c>
      <x:c r="N14" s="14" t="str"/>
      <x:c r="O14" s="14" t="str">
        <x:v>不能把年度项目统称2027便视为7月可入职</x:v>
      </x:c>
      <x:c r="P14" s="14" t="str">
        <x:v>等待新且合时的正式职位</x:v>
      </x:c>
      <x:c r="Q14" s="17" t="str">
        <x:v>待处理</x:v>
      </x:c>
      <x:c r="R14" s="17" t="str"/>
      <x:c r="S14" s="19" t="str"/>
      <x:c r="T14" s="20" t="str">
        <x:v>https://careers.capgemini.com/job/Melbourne-Graduate/1434622633/</x:v>
      </x:c>
      <x:c r="U14" s="20" t="str"/>
      <x:c r="V14" s="15" t="n">
        <x:v>46302.5</x:v>
      </x:c>
    </x:row>
    <x:row r="15" ht="78" customHeight="1">
      <x:c r="A15" s="13" t="str">
        <x:v>X-AU05</x:v>
      </x:c>
      <x:c r="B15" s="13" t="str">
        <x:v>排除</x:v>
      </x:c>
      <x:c r="C15" s="13" t="str">
        <x:v>澳大利亚</x:v>
      </x:c>
      <x:c r="D15" s="13" t="str">
        <x:v>ASX</x:v>
      </x:c>
      <x:c r="E15" s="13" t="str">
        <x:v>Graduate Program 2027</x:v>
      </x:c>
      <x:c r="F15" s="13" t="str">
        <x:v>见项目</x:v>
      </x:c>
      <x:c r="G15" s="13" t="str">
        <x:v>不匹配</x:v>
      </x:c>
      <x:c r="H15" s="13" t="str">
        <x:v>2027年2月</x:v>
      </x:c>
      <x:c r="I15" s="13" t="str">
        <x:v>日期不符且已截止</x:v>
      </x:c>
      <x:c r="J15" s="16" t="n">
        <x:v>46299.5</x:v>
      </x:c>
      <x:c r="K15" s="13" t="str">
        <x:v>已截止；时区未确认</x:v>
      </x:c>
      <x:c r="L15" s="13" t="str">
        <x:v>公民或PR，工签本身不满足</x:v>
      </x:c>
      <x:c r="M15" s="13" t="str">
        <x:v>时间与身份已构成排除理由</x:v>
      </x:c>
      <x:c r="N15" s="13" t="str"/>
      <x:c r="O15" s="13" t="str">
        <x:v>不应因为截止日刚过而当作可投</x:v>
      </x:c>
      <x:c r="P15" s="13" t="str">
        <x:v>排除当前批次</x:v>
      </x:c>
      <x:c r="Q15" s="17" t="str">
        <x:v>待处理</x:v>
      </x:c>
      <x:c r="R15" s="17" t="str"/>
      <x:c r="S15" s="19" t="str"/>
      <x:c r="T15" s="21" t="str">
        <x:v>https://www.asx.com.au/about/careers/asx-graduate-program</x:v>
      </x:c>
      <x:c r="U15" s="21" t="str"/>
      <x:c r="V15" s="16" t="n">
        <x:v>46302.5</x:v>
      </x:c>
    </x:row>
    <x:row r="16" ht="78" customHeight="1">
      <x:c r="A16" s="14" t="str">
        <x:v>X-AU06</x:v>
      </x:c>
      <x:c r="B16" s="14" t="str">
        <x:v>排除</x:v>
      </x:c>
      <x:c r="C16" s="14" t="str">
        <x:v>澳大利亚</x:v>
      </x:c>
      <x:c r="D16" s="14" t="str">
        <x:v>Suncorp</x:v>
      </x:c>
      <x:c r="E16" s="14" t="str">
        <x:v>Graduate Program 2027</x:v>
      </x:c>
      <x:c r="F16" s="14" t="str">
        <x:v>见项目</x:v>
      </x:c>
      <x:c r="G16" s="14" t="str">
        <x:v>不匹配</x:v>
      </x:c>
      <x:c r="H16" s="14" t="str">
        <x:v>2027-01-28</x:v>
      </x:c>
      <x:c r="I16" s="14" t="str">
        <x:v>早于可入职期</x:v>
      </x:c>
      <x:c r="J16" s="15"/>
      <x:c r="K16" s="14" t="str">
        <x:v>未公布明确截止日或时区</x:v>
      </x:c>
      <x:c r="L16" s="14" t="str">
        <x:v>未进一步核实</x:v>
      </x:c>
      <x:c r="M16" s="14" t="str">
        <x:v>本次因明确日期排除</x:v>
      </x:c>
      <x:c r="N16" s="14" t="str"/>
      <x:c r="O16" s="14" t="str">
        <x:v>固定开始日期不能默认延期</x:v>
      </x:c>
      <x:c r="P16" s="14" t="str">
        <x:v>排除当前批次</x:v>
      </x:c>
      <x:c r="Q16" s="17" t="str">
        <x:v>待处理</x:v>
      </x:c>
      <x:c r="R16" s="17" t="str"/>
      <x:c r="S16" s="19" t="str"/>
      <x:c r="T16" s="20" t="str">
        <x:v>https://www.suncorpgroup.com.au/news/news/2027-graduate-program</x:v>
      </x:c>
      <x:c r="U16" s="20" t="str"/>
      <x:c r="V16" s="15" t="n">
        <x:v>46302.5</x:v>
      </x:c>
    </x:row>
    <x:row r="17" ht="78" customHeight="1">
      <x:c r="A17" s="13" t="str">
        <x:v>X-AU07</x:v>
      </x:c>
      <x:c r="B17" s="13" t="str">
        <x:v>排除</x:v>
      </x:c>
      <x:c r="C17" s="13" t="str">
        <x:v>澳大利亚</x:v>
      </x:c>
      <x:c r="D17" s="13" t="str">
        <x:v>nbn</x:v>
      </x:c>
      <x:c r="E17" s="13" t="str">
        <x:v>2028 Graduate Program EOI（240421）</x:v>
      </x:c>
      <x:c r="F17" s="13" t="str">
        <x:v>通常Melbourne / Sydney，按路径</x:v>
      </x:c>
      <x:c r="G17" s="13" t="str">
        <x:v>仅EOI</x:v>
      </x:c>
      <x:c r="H17" s="13" t="str">
        <x:v>官方明确2028年2月</x:v>
      </x:c>
      <x:c r="I17" s="13" t="str">
        <x:v>时间合适，身份不符。EOI不是正式招聘轮次</x:v>
      </x:c>
      <x:c r="J17" s="16"/>
      <x:c r="K17" s="13" t="str">
        <x:v>未公布明确截止日或时区</x:v>
      </x:c>
      <x:c r="L17" s="13" t="str">
        <x:v>AU/NZ公民或澳洲PR。仅全职工签不满足</x:v>
      </x:c>
      <x:c r="M17" s="13" t="str">
        <x:v>入职前完成学历或最近24个月完成最后科目</x:v>
      </x:c>
      <x:c r="N17" s="13" t="str">
        <x:v>软件/网络/IT基础设施方向相关</x:v>
      </x:c>
      <x:c r="O17" s="13" t="str">
        <x:v>不要将开放EOI误记为用户合格正式岗位</x:v>
      </x:c>
      <x:c r="P17" s="13" t="str">
        <x:v>只有实际身份达到条件后才重新评估</x:v>
      </x:c>
      <x:c r="Q17" s="17" t="str">
        <x:v>待处理</x:v>
      </x:c>
      <x:c r="R17" s="17" t="str"/>
      <x:c r="S17" s="19" t="str"/>
      <x:c r="T17" s="21" t="str">
        <x:v>https://nbn.wd3.myworkdayjobs.com/en-US/nbncareers/job/XMLNAME-2028-nbn-Gradudate-Program-EOI_240421</x:v>
      </x:c>
      <x:c r="U17" s="21" t="str">
        <x:v>https://www.nbnco.com.au/corporate-information/careers/graduate-program</x:v>
      </x:c>
      <x:c r="V17" s="16" t="n">
        <x:v>46302.5</x:v>
      </x:c>
    </x:row>
    <x:row r="18" ht="78" customHeight="1">
      <x:c r="A18" s="14" t="str">
        <x:v>X-AU08</x:v>
      </x:c>
      <x:c r="B18" s="14" t="str">
        <x:v>排除</x:v>
      </x:c>
      <x:c r="C18" s="14" t="str">
        <x:v>澳大利亚</x:v>
      </x:c>
      <x:c r="D18" s="14" t="str">
        <x:v>ANZ</x:v>
      </x:c>
      <x:c r="E18" s="14" t="str">
        <x:v>2028 Australia Graduate Program EOI（113492）</x:v>
      </x:c>
      <x:c r="F18" s="14" t="str">
        <x:v>Mel/Syd/Adel/Brisb/Perth，技术流未定</x:v>
      </x:c>
      <x:c r="G18" s="14" t="str">
        <x:v>仅EOI</x:v>
      </x:c>
      <x:c r="H18" s="14" t="str">
        <x:v>项目年度2028，具体起始日未公布</x:v>
      </x:c>
      <x:c r="I18" s="14" t="str">
        <x:v>年度合适，身份不符。正式轮次尚未开放</x:v>
      </x:c>
      <x:c r="J18" s="15"/>
      <x:c r="K18" s="14" t="str">
        <x:v>未公布明确截止日或时区</x:v>
      </x:c>
      <x:c r="L18" s="14" t="str">
        <x:v>AU/NZ公民或项目所在国PR。仅工签不满足</x:v>
      </x:c>
      <x:c r="M18" s="14" t="str">
        <x:v>本科或以上最后一年，或近3年毕业</x:v>
      </x:c>
      <x:c r="N18" s="14" t="str">
        <x:v>工程技术团队涉及云、serverless、Kubernetes等</x:v>
      </x:c>
      <x:c r="O18" s="14" t="str">
        <x:v>Technology并非每个城市都有，EOI不代表具体工程岗</x:v>
      </x:c>
      <x:c r="P18" s="14" t="str">
        <x:v>只有身份条件满足后再评估正式技术岗位</x:v>
      </x:c>
      <x:c r="Q18" s="17" t="str">
        <x:v>待处理</x:v>
      </x:c>
      <x:c r="R18" s="17" t="str"/>
      <x:c r="S18" s="19" t="str"/>
      <x:c r="T18" s="20" t="str">
        <x:v>https://careers.anz.com/job/Mel,-Syd,-Adel,-Brisb,-Perth-Expression-of-Interest-2028-AU-Graduate-Program/1359695366/</x:v>
      </x:c>
      <x:c r="U18" s="20" t="str">
        <x:v>https://www.anz.com.au/careers/career-programs/graduate-program/</x:v>
      </x:c>
      <x:c r="V18" s="15" t="n">
        <x:v>46302.5</x:v>
      </x:c>
    </x:row>
    <x:row r="19" ht="78" customHeight="1">
      <x:c r="A19" s="13" t="str">
        <x:v>X-NZ01</x:v>
      </x:c>
      <x:c r="B19" s="13" t="str">
        <x:v>排除</x:v>
      </x:c>
      <x:c r="C19" s="13" t="str">
        <x:v>新西兰</x:v>
      </x:c>
      <x:c r="D19" s="13" t="str">
        <x:v>DXC Technology</x:v>
      </x:c>
      <x:c r="E19" s="13" t="str">
        <x:v>NZ Graduate Programme 2027（51573694）</x:v>
      </x:c>
      <x:c r="F19" s="13" t="str">
        <x:v>Wellington</x:v>
      </x:c>
      <x:c r="G19" s="13" t="str">
        <x:v>不匹配</x:v>
      </x:c>
      <x:c r="H19" s="13" t="str">
        <x:v>2027，具体晚入职时间未确认</x:v>
      </x:c>
      <x:c r="I19" s="13" t="str">
        <x:v>身份已不符合</x:v>
      </x:c>
      <x:c r="J19" s="16"/>
      <x:c r="K19" s="13" t="str">
        <x:v>未公布明确截止日或时区</x:v>
      </x:c>
      <x:c r="L19" s="13" t="str">
        <x:v>要求新西兰公民或PR，普通NZ工签不足</x:v>
      </x:c>
      <x:c r="M19" s="13" t="str">
        <x:v>本次因身份硬门槛排除</x:v>
      </x:c>
      <x:c r="N19" s="13" t="str"/>
      <x:c r="O19" s="13" t="str">
        <x:v>全职工作权与PR/国籍不能互换</x:v>
      </x:c>
      <x:c r="P19" s="13" t="str">
        <x:v>排除当前岗位</x:v>
      </x:c>
      <x:c r="Q19" s="17" t="str">
        <x:v>待处理</x:v>
      </x:c>
      <x:c r="R19" s="17" t="str"/>
      <x:c r="S19" s="19" t="str"/>
      <x:c r="T19" s="21" t="str">
        <x:v>https://dxctechnology.wd1.myworkdayjobs.com/en-us/dxcjobs/job/nzl---wgn---wellington/xmlname-2027-dxc-technology-graduate-program-new-zealand_51573694</x:v>
      </x:c>
      <x:c r="U19" s="21" t="str"/>
      <x:c r="V19" s="16" t="n">
        <x:v>46302.5</x:v>
      </x:c>
    </x:row>
    <x:row r="20" ht="78" customHeight="1">
      <x:c r="A20" s="14" t="str">
        <x:v>X-NZ02</x:v>
      </x:c>
      <x:c r="B20" s="14" t="str">
        <x:v>排除</x:v>
      </x:c>
      <x:c r="C20" s="14" t="str">
        <x:v>新西兰</x:v>
      </x:c>
      <x:c r="D20" s="14" t="str">
        <x:v>Deloitte</x:v>
      </x:c>
      <x:c r="E20" s="14" t="str">
        <x:v>NZ Graduate Positions 2027</x:v>
      </x:c>
      <x:c r="F20" s="14" t="str">
        <x:v>Wellington，其他城市按职位</x:v>
      </x:c>
      <x:c r="G20" s="14" t="str">
        <x:v>不匹配</x:v>
      </x:c>
      <x:c r="H20" s="14" t="str">
        <x:v>2027年2月</x:v>
      </x:c>
      <x:c r="I20" s="14" t="str">
        <x:v>早于可入职期</x:v>
      </x:c>
      <x:c r="J20" s="15"/>
      <x:c r="K20" s="14" t="str">
        <x:v>未公布明确截止日或时区</x:v>
      </x:c>
      <x:c r="L20" s="14" t="str">
        <x:v>未进一步核实</x:v>
      </x:c>
      <x:c r="M20" s="14" t="str">
        <x:v>本次因明确日期排除</x:v>
      </x:c>
      <x:c r="N20" s="14" t="str"/>
      <x:c r="O20" s="14" t="str">
        <x:v>不把一般graduate搜索结果当7月后职位</x:v>
      </x:c>
      <x:c r="P20" s="14" t="str">
        <x:v>等待未来合适批次</x:v>
      </x:c>
      <x:c r="Q20" s="17" t="str">
        <x:v>待处理</x:v>
      </x:c>
      <x:c r="R20" s="17" t="str"/>
      <x:c r="S20" s="19" t="str"/>
      <x:c r="T20" s="20" t="str">
        <x:v>https://careers.smartrecruiters.com/DeloitteNZ/early-careers?location=Wellington%2C+NZ</x:v>
      </x:c>
      <x:c r="U20" s="20" t="str"/>
      <x:c r="V20" s="15" t="n">
        <x:v>46302.5</x:v>
      </x:c>
    </x:row>
    <x:row r="21" ht="78" customHeight="1">
      <x:c r="A21" s="13" t="str">
        <x:v>X-NZ03</x:v>
      </x:c>
      <x:c r="B21" s="13" t="str">
        <x:v>排除</x:v>
      </x:c>
      <x:c r="C21" s="13" t="str">
        <x:v>新西兰</x:v>
      </x:c>
      <x:c r="D21" s="13" t="str">
        <x:v>RBNZ</x:v>
      </x:c>
      <x:c r="E21" s="13" t="str">
        <x:v>Graduate Analyst – Operations Group（JR101561）</x:v>
      </x:c>
      <x:c r="F21" s="13" t="str">
        <x:v>见具体职位</x:v>
      </x:c>
      <x:c r="G21" s="13" t="str">
        <x:v>不匹配</x:v>
      </x:c>
      <x:c r="H21" s="13" t="str">
        <x:v>2027年初</x:v>
      </x:c>
      <x:c r="I21" s="13" t="str">
        <x:v>早于可入职期且已截止</x:v>
      </x:c>
      <x:c r="J21" s="16" t="n">
        <x:v>46131.5</x:v>
      </x:c>
      <x:c r="K21" s="13" t="str">
        <x:v>历史已关闭；时区未确认</x:v>
      </x:c>
      <x:c r="L21" s="13" t="str">
        <x:v>接受有效工作签证，但日期不符</x:v>
      </x:c>
      <x:c r="M21" s="13" t="str">
        <x:v>本次因时间和关闭状态排除</x:v>
      </x:c>
      <x:c r="N21" s="13" t="str"/>
      <x:c r="O21" s="13" t="str">
        <x:v>接受工签不代表符合全部条件</x:v>
      </x:c>
      <x:c r="P21" s="13" t="str">
        <x:v>排除当前岗位</x:v>
      </x:c>
      <x:c r="Q21" s="17" t="str">
        <x:v>待处理</x:v>
      </x:c>
      <x:c r="R21" s="17" t="str"/>
      <x:c r="S21" s="19" t="str"/>
      <x:c r="T21" s="21" t="str">
        <x:v>https://rbnz.wd3.myworkdayjobs.com/en-US/RBNZ/job/Graduate-Analyst--Operations-Group_JR101561</x:v>
      </x:c>
      <x:c r="U21" s="21" t="str"/>
      <x:c r="V21" s="16" t="n">
        <x:v>46302.5</x:v>
      </x:c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</x:sheetData>
  <x:conditionalFormatting sqref="Q10:Q21">
    <x:cfRule type="containsText" dxfId="4" priority="1" operator="containsText" text="已申请"/>
    <x:cfRule type="containsText" dxfId="5" priority="2" operator="containsText" text="待询问"/>
  </x:conditionalFormatting>
  <x:dataValidations count="1">
    <x:dataValidation type="list" sqref="Q10:Q21">
      <x:formula1>"待处理,待询问,准备材料,已申请,面试中,已结束,暂不申请"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5f8d807e8840e9"/>
  </x:tableParts>
</x:worksheet>
</file>

<file path=xl/worksheets/sheet4.xml><?xml version="1.0" encoding="utf-8"?>
<x:worksheet xmlns:x="http://schemas.openxmlformats.org/spreadsheetml/2006/main">
  <x:sheetPr>
    <x:tabColor rgb="FF697F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73" hidden="0" customWidth="1"/>
    <x:col min="3" max="3" width="74" hidden="0" customWidth="1"/>
    <x:col min="4" max="4" width="3" hidden="0" customWidth="1"/>
    <x:col min="5" max="5" width="75" hidden="0" customWidth="1"/>
    <x:col min="6" max="6" width="24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30" customHeight="1">
      <x:c r="A2" s="3" t="str">
        <x:v>个人背景与筛选口径</x:v>
      </x:c>
      <x:c r="B2" s="2"/>
      <x:c r="C2" s="2"/>
      <x:c r="D2" s="2"/>
      <x:c r="E2" s="2"/>
      <x:c r="F2" s="2"/>
    </x:row>
    <x:row r="3" ht="22" customHeight="1">
      <x:c r="A3" s="4"/>
      <x:c r="B3" s="4"/>
      <x:c r="C3" s="4"/>
      <x:c r="D3" s="4"/>
      <x:c r="E3" s="4"/>
      <x:c r="F3" s="4"/>
    </x:row>
    <x:row r="4" ht="22" customHeight="1">
      <x:c r="A4" s="2" t="str">
        <x:v>核查日</x:v>
      </x:c>
      <x:c r="B4" s="5" t="n">
        <x:v>46302.5</x:v>
      </x:c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8" t="str">
        <x:v>项目</x:v>
      </x:c>
      <x:c r="B6" s="8" t="str">
        <x:v>已知事实或筛选规则</x:v>
      </x:c>
      <x:c r="C6" s="8" t="str">
        <x:v>影响</x:v>
      </x:c>
      <x:c r="D6" s="2"/>
      <x:c r="E6" s="8" t="str">
        <x:v>依据</x:v>
      </x:c>
      <x:c r="F6" s="2"/>
    </x:row>
    <x:row r="7" ht="58" customHeight="1">
      <x:c r="A7" s="12" t="str">
        <x:v>可入职期</x:v>
      </x:c>
      <x:c r="B7" s="12" t="str">
        <x:v>按用户要求：2027年6月之后，即最早2027年7月1日</x:v>
      </x:c>
      <x:c r="C7" s="12" t="str">
        <x:v>这是筛选下限，不是已确定毕业日或任何雇主承诺</x:v>
      </x:c>
      <x:c r="D7" s="12" t="str"/>
      <x:c r="E7" s="22" t="str">
        <x:v>用户本次要求</x:v>
      </x:c>
      <x:c r="F7" s="12" t="str"/>
    </x:row>
    <x:row r="8" ht="58" customHeight="1">
      <x:c r="A8" s="12" t="str">
        <x:v>工作权假设</x:v>
      </x:c>
      <x:c r="B8" s="12" t="str">
        <x:v>假设入职时具备目标国家有效全职工作许可。未假设AU/NZ公民或PR</x:v>
      </x:c>
      <x:c r="C8" s="12" t="str">
        <x:v>澳洲工作许可不能自动作为NZ资格。实际签证国家、有效期与条件需确认</x:v>
      </x:c>
      <x:c r="D8" s="12" t="str"/>
      <x:c r="E8" s="22" t="str">
        <x:v>用户本次假设；各岗位官方条件</x:v>
      </x:c>
      <x:c r="F8" s="12" t="str"/>
    </x:row>
    <x:row r="9" ht="58" customHeight="1">
      <x:c r="A9" s="12" t="str">
        <x:v>教育</x:v>
      </x:c>
      <x:c r="B9" s="12" t="str">
        <x:v>Monash Master of IT，2025–2027。McMaster BA Theatre &amp; Film Studies，2019–2023</x:v>
      </x:c>
      <x:c r="C9" s="12" t="str">
        <x:v>IT硕士对技术岗相关。具体完成、授予学位日期尚未核实</x:v>
      </x:c>
      <x:c r="D9" s="12" t="str"/>
      <x:c r="E9" s="22" t="str">
        <x:v>https://github.com/HongyuanE/hongyuan-portfolio/blob/main/src/ExperiencePage.tsx</x:v>
      </x:c>
      <x:c r="F9" s="12" t="str"/>
    </x:row>
    <x:row r="10" ht="58" customHeight="1">
      <x:c r="A10" s="12" t="str">
        <x:v>经历口径</x:v>
      </x:c>
      <x:c r="B10" s="12" t="str">
        <x:v>未找到独立CV，也未核实付薪工程师工作经验。使用公开GitHub与作品集</x:v>
      </x:c>
      <x:c r="C10" s="12" t="str">
        <x:v>个人项目可以证明技能，不能换算成商业工程/SRE任职年限</x:v>
      </x:c>
      <x:c r="D10" s="12" t="str"/>
      <x:c r="E10" s="22" t="str">
        <x:v>https://github.com/HongyuanE/hongyuan-portfolio</x:v>
      </x:c>
      <x:c r="F10" s="12" t="str"/>
    </x:row>
    <x:row r="11" ht="58" customHeight="1">
      <x:c r="A11" s="12" t="str">
        <x:v>OurCafe云后端</x:v>
      </x:c>
      <x:c r="B11" s="12" t="str">
        <x:v>个人项目：Python/FastAPI、API Gateway、Lambda、DynamoDB、Terraform、Docker/ECR、GitHub Actions/OIDC、pytest/ruff、IAM与架构决策记录</x:v>
      </x:c>
      <x:c r="C11" s="12" t="str">
        <x:v>最强匹配依据是junior/graduate backend、cloud/platform、自动化方向</x:v>
      </x:c>
      <x:c r="D11" s="12" t="str"/>
      <x:c r="E11" s="22" t="str">
        <x:v>https://github.com/HongyuanE/ourcafe-backend/blob/main/README.md</x:v>
      </x:c>
      <x:c r="F11" s="12" t="str"/>
    </x:row>
    <x:row r="12" ht="58" customHeight="1">
      <x:c r="A12" s="12" t="str">
        <x:v>OurCafe Guardrails</x:v>
      </x:c>
      <x:c r="B12" s="12" t="str">
        <x:v>个人AI NPC演示：TypeScript/Vite、服务器代理、SSE、IP限流、延迟/Token/成本遥测</x:v>
      </x:c>
      <x:c r="C12" s="12" t="str">
        <x:v>可证明Web/API与观测设计，不能声称经过生产级安全认证</x:v>
      </x:c>
      <x:c r="D12" s="12" t="str"/>
      <x:c r="E12" s="22" t="str">
        <x:v>https://github.com/HongyuanE/ourcafe-guardrails/blob/main/README.md</x:v>
      </x:c>
      <x:c r="F12" s="12" t="str"/>
    </x:row>
    <x:row r="13" ht="58" customHeight="1">
      <x:c r="A13" s="12" t="str">
        <x:v>Unity与C#</x:v>
      </x:c>
      <x:c r="B13" s="12" t="str">
        <x:v>SpaceSmasher：已发布跨平台Unity/C#游戏；还有其他游戏/工具项目</x:v>
      </x:c>
      <x:c r="C13" s="12" t="str">
        <x:v>可连接C#/.NET初级岗位，但Unity经验不等同企业.NET生产经验</x:v>
      </x:c>
      <x:c r="D13" s="12" t="str"/>
      <x:c r="E13" s="22" t="str">
        <x:v>https://github.com/HongyuanE/hongyuan-portfolio/blob/main/src/data/projects.ts</x:v>
      </x:c>
      <x:c r="F13" s="12" t="str"/>
    </x:row>
    <x:row r="14" ht="58" customHeight="1">
      <x:c r="A14" s="12" t="str">
        <x:v>Kubernetes与监控</x:v>
      </x:c>
      <x:c r="B14" s="12" t="str">
        <x:v>Kubernetes明确仍在学习。Prometheus/Grafana出现在技能列表</x:v>
      </x:c>
      <x:c r="C14" s="12" t="str">
        <x:v>不将技能列表当商业生产部署、值班或大规模集群经验</x:v>
      </x:c>
      <x:c r="D14" s="12" t="str"/>
      <x:c r="E14" s="22" t="str">
        <x:v>https://github.com/HongyuanE/HongyuanE/blob/main/README.md</x:v>
      </x:c>
      <x:c r="F14" s="12" t="str"/>
    </x:row>
    <x:row r="15" ht="58" customHeight="1">
      <x:c r="A15" s="12" t="str">
        <x:v>认证</x:v>
      </x:c>
      <x:c r="B15" s="12" t="str">
        <x:v>AWS Cloud Practitioner、Solutions Architect Associate均为进行中</x:v>
      </x:c>
      <x:c r="C15" s="12" t="str">
        <x:v>简历不可标为已获得认证</x:v>
      </x:c>
      <x:c r="D15" s="12" t="str"/>
      <x:c r="E15" s="22" t="str">
        <x:v>https://github.com/HongyuanE/HongyuanE/blob/main/README.md</x:v>
      </x:c>
      <x:c r="F15" s="12" t="str"/>
    </x:row>
    <x:row r="16" ht="58" customHeight="1">
      <x:c r="A16" s="12" t="str">
        <x:v>优先级</x:v>
      </x:c>
      <x:c r="B16" s="12" t="str">
        <x:v>优先顺序综合时间依据、身份条件和项目匹配，不是录取概率评分</x:v>
      </x:c>
      <x:c r="C16" s="12" t="str">
        <x:v>首选为TikTok基础设施SRE；其他TikTok岗位是备选组合，Eagle是相邻方向</x:v>
      </x:c>
      <x:c r="D16" s="12" t="str"/>
      <x:c r="E16" s="22" t="str">
        <x:v>本次岗位研究与上述个人项目</x:v>
      </x:c>
      <x:c r="F16" s="12" t="str"/>
    </x:row>
    <x:row r="17" ht="58" customHeight="1">
      <x:c r="A17" s="12" t="str">
        <x:v>TikTok两岗限制</x:v>
      </x:c>
      <x:c r="B17" s="12" t="str">
        <x:v>岗位页限制公司及关联公司全球最多两岗，并按申请顺序考虑。FAQ说明每个项目、每个半年申请期两岗</x:v>
      </x:c>
      <x:c r="C17" s="12" t="str">
        <x:v>保守按两岗处理。选择前核实已经投过哪些岗位，三条推荐不能全部投</x:v>
      </x:c>
      <x:c r="D17" s="12" t="str"/>
      <x:c r="E17" s="22" t="str">
        <x:v>https://lifeattiktok.com/earlycareers/faq/?language=en</x:v>
      </x:c>
      <x:c r="F17" s="12" t="str"/>
    </x:row>
    <x:row r="18" ht="58" customHeight="1">
      <x:c r="A18" s="12" t="str">
        <x:v>状态含义</x:v>
      </x:c>
      <x:c r="B18" s="12" t="str">
        <x:v>正式招聘＝已核实岗位页有申请入口。EOI＝仅意向登记。下轮观察＝没有合时正式职位证据</x:v>
      </x:c>
      <x:c r="C18" s="12" t="str">
        <x:v>2028项目没有公告时不可称已开放。当前或立即入职岗位不能假设延期</x:v>
      </x:c>
      <x:c r="D18" s="12" t="str"/>
      <x:c r="E18" s="22" t="str">
        <x:v>各条目官方来源</x:v>
      </x:c>
      <x:c r="F18" s="12" t="str"/>
    </x:row>
    <x:row r="19" ht="58" customHeight="1">
      <x:c r="A19" s="12" t="str">
        <x:v>日期精度</x:v>
      </x:c>
      <x:c r="B19" s="12" t="str">
        <x:v>“年底前”只是边界，不是固定7月日期。只把可核实完整截止日写入日期列；空白表示未公布或未核实</x:v>
      </x:c>
      <x:c r="C19" s="12" t="str">
        <x:v>时间区未知时明确注明，不自行补北京时间/澳洲时区</x:v>
      </x:c>
      <x:c r="D19" s="12" t="str"/>
      <x:c r="E19" s="22" t="str">
        <x:v>各条目官方来源</x:v>
      </x:c>
      <x:c r="F19" s="12" t="str"/>
    </x:row>
    <x:row r="20" ht="58" customHeight="1">
      <x:c r="A20" s="12" t="str">
        <x:v>使用方式</x:v>
      </x:c>
      <x:c r="B20" s="12" t="str">
        <x:v>每张清单可筛选。黄色“我的进度”和“我的备注”可自行填写，原始来源同一行随排序保留</x:v>
      </x:c>
      <x:c r="C20" s="12" t="str">
        <x:v>在正式申请前重开官网，核起始日、截止日、签证和毕业条件。本次未投递或登记</x:v>
      </x:c>
      <x:c r="D20" s="12" t="str"/>
      <x:c r="E20" s="22" t="str">
        <x:v>本次工作范围</x:v>
      </x:c>
      <x:c r="F20" s="12" t="str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